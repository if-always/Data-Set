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385" windowHeight="8955" tabRatio="500" activeTab="1"/>
  </bookViews>
  <sheets>
    <sheet name="成绩表" sheetId="1" r:id="rId1"/>
    <sheet name="信息表" sheetId="2" r:id="rId2"/>
    <sheet name="免测表" sheetId="3" r:id="rId3"/>
    <sheet name="测试时间表" sheetId="4" r:id="rId4"/>
  </sheets>
  <calcPr calcId="144525" concurrentCalc="0"/>
</workbook>
</file>

<file path=xl/comments1.xml><?xml version="1.0" encoding="utf-8"?>
<comments xmlns="http://schemas.openxmlformats.org/spreadsheetml/2006/main">
  <authors>
    <author/>
  </authors>
  <commentList>
    <comment ref="F1" authorId="0">
      <text>
        <r>
          <rPr>
            <sz val="9"/>
            <rFont val="宋体"/>
            <charset val="134"/>
          </rPr>
          <t>姓名中不要含有特殊符号</t>
        </r>
      </text>
    </comment>
    <comment ref="G1" authorId="0">
      <text>
        <r>
          <rPr>
            <sz val="9"/>
            <rFont val="宋体"/>
            <charset val="134"/>
          </rPr>
          <t>性别填写性别编码：男：1，女：2</t>
        </r>
      </text>
    </comment>
    <comment ref="H1" authorId="0">
      <text>
        <r>
          <rPr>
            <sz val="9"/>
            <rFont val="宋体"/>
            <charset val="134"/>
          </rPr>
          <t>身高：数字格式，单位为cm</t>
        </r>
      </text>
    </comment>
    <comment ref="I1" authorId="0">
      <text>
        <r>
          <rPr>
            <sz val="9"/>
            <rFont val="宋体"/>
            <charset val="134"/>
          </rPr>
          <t>体重：数字格式，单位为kg</t>
        </r>
      </text>
    </comment>
    <comment ref="J1" authorId="0">
      <text>
        <r>
          <rPr>
            <sz val="9"/>
            <rFont val="宋体"/>
            <charset val="134"/>
          </rPr>
          <t>肺活量：数值式范围在500~9999之间</t>
        </r>
      </text>
    </comment>
    <comment ref="K1" authorId="0">
      <text>
        <r>
          <rPr>
            <sz val="9"/>
            <rFont val="宋体"/>
            <charset val="134"/>
          </rPr>
          <t>坐位体前屈：值范围-30~40，可以是小数</t>
        </r>
      </text>
    </comment>
    <comment ref="L1" authorId="0">
      <text>
        <r>
          <rPr>
            <sz val="9"/>
            <rFont val="宋体"/>
            <charset val="134"/>
          </rPr>
          <t>50米跑：值范围5.0~20.0，可以是小数</t>
        </r>
      </text>
    </comment>
    <comment ref="M1" authorId="0">
      <text>
        <r>
          <rPr>
            <sz val="9"/>
            <rFont val="宋体"/>
            <charset val="134"/>
          </rPr>
          <t>立定跳远：值范围50~400，可以是小数</t>
        </r>
      </text>
    </comment>
    <comment ref="N1" authorId="0">
      <text>
        <r>
          <rPr>
            <sz val="9"/>
            <rFont val="宋体"/>
            <charset val="134"/>
          </rPr>
          <t>引体向上：值是0~99的整数</t>
        </r>
      </text>
    </comment>
    <comment ref="O1" authorId="0">
      <text>
        <r>
          <rPr>
            <sz val="9"/>
            <rFont val="宋体"/>
            <charset val="134"/>
          </rPr>
          <t>一分钟仰卧起坐：值是0~99的整数</t>
        </r>
      </text>
    </comment>
    <comment ref="P1" authorId="0">
      <text>
        <r>
          <rPr>
            <sz val="9"/>
            <rFont val="宋体"/>
            <charset val="134"/>
          </rPr>
          <t>1000米跑：格式 3′45″ (″(秒号)可省略) 或者3’45" ("(双引号)可省略 )</t>
        </r>
      </text>
    </comment>
    <comment ref="Q1" authorId="0">
      <text>
        <r>
          <rPr>
            <sz val="9"/>
            <rFont val="宋体"/>
            <charset val="134"/>
          </rPr>
          <t>800米跑：格式 3′45″ (″(秒号)可省略) 或者3’45" ("(双引号)可省略 )</t>
        </r>
      </text>
    </comment>
  </commentList>
</comments>
</file>

<file path=xl/comments2.xml><?xml version="1.0" encoding="utf-8"?>
<comments xmlns="http://schemas.openxmlformats.org/spreadsheetml/2006/main">
  <authors>
    <author>dmg</author>
  </authors>
  <commentList>
    <comment ref="B1" authorId="0">
      <text>
        <r>
          <rPr>
            <sz val="9"/>
            <rFont val="宋体"/>
            <charset val="134"/>
          </rPr>
          <t xml:space="preserve">班级编号必须由数字构成
</t>
        </r>
      </text>
    </comment>
    <comment ref="C1" authorId="0">
      <text>
        <r>
          <rPr>
            <sz val="9"/>
            <rFont val="宋体"/>
            <charset val="134"/>
          </rPr>
          <t>班级名称可以由数字、汉子等构成</t>
        </r>
      </text>
    </comment>
    <comment ref="D1" authorId="0">
      <text>
        <r>
          <rPr>
            <sz val="9"/>
            <rFont val="宋体"/>
            <charset val="134"/>
          </rPr>
          <t>大学：学籍号由数字+字母组成
小、中、高：按照实际学籍号填写,且保证全校学籍号唯一</t>
        </r>
      </text>
    </comment>
    <comment ref="E1" authorId="0">
      <text>
        <r>
          <rPr>
            <sz val="9"/>
            <rFont val="宋体"/>
            <charset val="134"/>
          </rPr>
          <t>民族代码范围是1到58</t>
        </r>
      </text>
    </comment>
    <comment ref="F1" authorId="0">
      <text>
        <r>
          <rPr>
            <sz val="9"/>
            <rFont val="宋体"/>
            <charset val="134"/>
          </rPr>
          <t>姓名不可以是全数字</t>
        </r>
      </text>
    </comment>
    <comment ref="G1" authorId="0">
      <text>
        <r>
          <rPr>
            <sz val="9"/>
            <rFont val="宋体"/>
            <charset val="134"/>
          </rPr>
          <t>性别：男：1，女：2</t>
        </r>
      </text>
    </comment>
    <comment ref="H1" authorId="0">
      <text>
        <r>
          <rPr>
            <sz val="9"/>
            <rFont val="宋体"/>
            <charset val="134"/>
          </rPr>
          <t>出生日期格式  如：1990/09/21</t>
        </r>
      </text>
    </comment>
    <comment ref="I1" authorId="0">
      <text>
        <r>
          <rPr>
            <sz val="9"/>
            <rFont val="宋体"/>
            <charset val="134"/>
          </rPr>
          <t>大学生必须填写，请参照来源代码表</t>
        </r>
      </text>
    </comment>
    <comment ref="J1" authorId="0">
      <text>
        <r>
          <rPr>
            <sz val="9"/>
            <rFont val="宋体"/>
            <charset val="134"/>
          </rPr>
          <t>大学生身份证必须填写</t>
        </r>
      </text>
    </comment>
    <comment ref="K1" authorId="0">
      <text>
        <r>
          <rPr>
            <sz val="9"/>
            <rFont val="宋体"/>
            <charset val="134"/>
          </rPr>
          <t>家庭住址可以由汉字、字母、数字和-#()符号组成</t>
        </r>
      </text>
    </comment>
  </commentList>
</comments>
</file>

<file path=xl/sharedStrings.xml><?xml version="1.0" encoding="utf-8"?>
<sst xmlns="http://schemas.openxmlformats.org/spreadsheetml/2006/main" count="1561">
  <si>
    <t>年级编号</t>
  </si>
  <si>
    <t>班级编号</t>
  </si>
  <si>
    <t>班级</t>
  </si>
  <si>
    <t>学号</t>
  </si>
  <si>
    <t>民族代码</t>
  </si>
  <si>
    <t>姓名</t>
  </si>
  <si>
    <t>性别</t>
  </si>
  <si>
    <t>身高</t>
  </si>
  <si>
    <t>体重</t>
  </si>
  <si>
    <t>肺活量</t>
  </si>
  <si>
    <t>坐位体前屈</t>
  </si>
  <si>
    <t>50米跑</t>
  </si>
  <si>
    <t>立定跳远</t>
  </si>
  <si>
    <t>引体向上</t>
  </si>
  <si>
    <t>钟仰卧起坐</t>
  </si>
  <si>
    <t>1000米跑</t>
  </si>
  <si>
    <t>800米跑</t>
  </si>
  <si>
    <t>英语一班</t>
  </si>
  <si>
    <t>张璐佳</t>
  </si>
  <si>
    <t>4'11"</t>
  </si>
  <si>
    <t>陆贝尔</t>
  </si>
  <si>
    <t>3'49"</t>
  </si>
  <si>
    <t>骆垠如</t>
  </si>
  <si>
    <t>4'02"</t>
  </si>
  <si>
    <t>钱素</t>
  </si>
  <si>
    <t>4'15"</t>
  </si>
  <si>
    <t>阮渝航</t>
  </si>
  <si>
    <t>4'09"</t>
  </si>
  <si>
    <t>汤沁</t>
  </si>
  <si>
    <t>3'59"</t>
  </si>
  <si>
    <t>王烨丹</t>
  </si>
  <si>
    <t>4'06"</t>
  </si>
  <si>
    <t>吴诗煜</t>
  </si>
  <si>
    <t>4'22"</t>
  </si>
  <si>
    <t>徐嘉甜</t>
  </si>
  <si>
    <t>许婷</t>
  </si>
  <si>
    <t>5'02"</t>
  </si>
  <si>
    <t>杨浠</t>
  </si>
  <si>
    <t>4'20"</t>
  </si>
  <si>
    <t>应施施</t>
  </si>
  <si>
    <t>4'01"</t>
  </si>
  <si>
    <t>张金燕</t>
  </si>
  <si>
    <t>3'56"</t>
  </si>
  <si>
    <t>张颖芝</t>
  </si>
  <si>
    <t>4'07"</t>
  </si>
  <si>
    <t>赵青</t>
  </si>
  <si>
    <t>周洁</t>
  </si>
  <si>
    <t>3'39"</t>
  </si>
  <si>
    <t>朱晓婷</t>
  </si>
  <si>
    <t>4'24"</t>
  </si>
  <si>
    <t>戴竟成</t>
  </si>
  <si>
    <t>4'54"</t>
  </si>
  <si>
    <t>何晨曦</t>
  </si>
  <si>
    <t>5'07"</t>
  </si>
  <si>
    <t>陆临风</t>
  </si>
  <si>
    <t>4'46"</t>
  </si>
  <si>
    <t>邱阳</t>
  </si>
  <si>
    <t>4'30"</t>
  </si>
  <si>
    <t>孙贵来</t>
  </si>
  <si>
    <t>杨清</t>
  </si>
  <si>
    <t>4'03"</t>
  </si>
  <si>
    <t>时心玥</t>
  </si>
  <si>
    <t>4'04"</t>
  </si>
  <si>
    <t>曹婧</t>
  </si>
  <si>
    <t>3'43"</t>
  </si>
  <si>
    <t>陈晓惠</t>
  </si>
  <si>
    <t>程实</t>
  </si>
  <si>
    <t>3'32"</t>
  </si>
  <si>
    <t>顾昊瑜</t>
  </si>
  <si>
    <t>4'14"</t>
  </si>
  <si>
    <t>郭梦婷</t>
  </si>
  <si>
    <t>4'27"</t>
  </si>
  <si>
    <t>胡梦醒</t>
  </si>
  <si>
    <t>3'29"</t>
  </si>
  <si>
    <t>黄海素</t>
  </si>
  <si>
    <t>3'58"</t>
  </si>
  <si>
    <t>黄时秀</t>
  </si>
  <si>
    <t>4'58"</t>
  </si>
  <si>
    <t>金舜姬</t>
  </si>
  <si>
    <t>3'53"</t>
  </si>
  <si>
    <t>李思璇</t>
  </si>
  <si>
    <t>4'08"</t>
  </si>
  <si>
    <t>李媛媛</t>
  </si>
  <si>
    <t>4'10"</t>
  </si>
  <si>
    <t>刘若男</t>
  </si>
  <si>
    <t>3'57"</t>
  </si>
  <si>
    <t>英语二班</t>
  </si>
  <si>
    <t>陈丹敏</t>
  </si>
  <si>
    <t>陈肖冰</t>
  </si>
  <si>
    <t>封晔</t>
  </si>
  <si>
    <t>顾康顺</t>
  </si>
  <si>
    <t>胡雨晴</t>
  </si>
  <si>
    <t>4'25"</t>
  </si>
  <si>
    <t>黄丽颖</t>
  </si>
  <si>
    <t>4'42"</t>
  </si>
  <si>
    <t>嵇文婧</t>
  </si>
  <si>
    <t>3'54"</t>
  </si>
  <si>
    <t>孔梦梦</t>
  </si>
  <si>
    <t>4'12"</t>
  </si>
  <si>
    <t>李雯</t>
  </si>
  <si>
    <t>厉美娜</t>
  </si>
  <si>
    <t>3'21"</t>
  </si>
  <si>
    <t>刘丽金</t>
  </si>
  <si>
    <t>刘田田</t>
  </si>
  <si>
    <t>3'34"</t>
  </si>
  <si>
    <t>陆鑫</t>
  </si>
  <si>
    <t>3'36"</t>
  </si>
  <si>
    <t>马文清</t>
  </si>
  <si>
    <t>5'05"</t>
  </si>
  <si>
    <t>潘鑫</t>
  </si>
  <si>
    <t>4'16"</t>
  </si>
  <si>
    <t>钱悦</t>
  </si>
  <si>
    <t>宋文轩</t>
  </si>
  <si>
    <t>4'05"</t>
  </si>
  <si>
    <t>童麦青</t>
  </si>
  <si>
    <t>王依婷</t>
  </si>
  <si>
    <t>3'41"</t>
  </si>
  <si>
    <t>魏雅婷</t>
  </si>
  <si>
    <t>3'51"</t>
  </si>
  <si>
    <t>吴昕</t>
  </si>
  <si>
    <t>徐小洁</t>
  </si>
  <si>
    <t>杨惠煜</t>
  </si>
  <si>
    <t>姚煜旻</t>
  </si>
  <si>
    <t>余晓雨</t>
  </si>
  <si>
    <t>3'50"</t>
  </si>
  <si>
    <t>张文莉</t>
  </si>
  <si>
    <t>3'48"</t>
  </si>
  <si>
    <t>章婷</t>
  </si>
  <si>
    <t>4'31"</t>
  </si>
  <si>
    <t>钟徐景</t>
  </si>
  <si>
    <t>周诗颖</t>
  </si>
  <si>
    <t>朱雨婷</t>
  </si>
  <si>
    <t>高尚毅</t>
  </si>
  <si>
    <t>5'39"</t>
  </si>
  <si>
    <t>何非非</t>
  </si>
  <si>
    <t>4'55"</t>
  </si>
  <si>
    <t>钱磊</t>
  </si>
  <si>
    <t>4'19"</t>
  </si>
  <si>
    <t>王红方</t>
  </si>
  <si>
    <t>朱成杰</t>
  </si>
  <si>
    <t>4'23"</t>
  </si>
  <si>
    <t>王嘉玮</t>
  </si>
  <si>
    <t>英语三班</t>
  </si>
  <si>
    <t>李茜</t>
  </si>
  <si>
    <t>李雅</t>
  </si>
  <si>
    <t>刘畅</t>
  </si>
  <si>
    <t>3'23"</t>
  </si>
  <si>
    <t>刘明月</t>
  </si>
  <si>
    <t>4'33"</t>
  </si>
  <si>
    <t>楼张睿</t>
  </si>
  <si>
    <t>鹿郭欣</t>
  </si>
  <si>
    <t>梅思嘉</t>
  </si>
  <si>
    <t>孙静</t>
  </si>
  <si>
    <t>王勤燕</t>
  </si>
  <si>
    <t>王羽婷</t>
  </si>
  <si>
    <t>翁珺</t>
  </si>
  <si>
    <t>谢心悦</t>
  </si>
  <si>
    <t>徐新月</t>
  </si>
  <si>
    <t>杨静静</t>
  </si>
  <si>
    <t>叶家美</t>
  </si>
  <si>
    <t>余月娥</t>
  </si>
  <si>
    <t>4'39"</t>
  </si>
  <si>
    <t>张妍</t>
  </si>
  <si>
    <t>4'28"</t>
  </si>
  <si>
    <t>赵敏</t>
  </si>
  <si>
    <t>周佳钰</t>
  </si>
  <si>
    <t>朱倩雯</t>
  </si>
  <si>
    <t>3'52"</t>
  </si>
  <si>
    <t>李通辉</t>
  </si>
  <si>
    <t>秦成志</t>
  </si>
  <si>
    <t>石不凡</t>
  </si>
  <si>
    <t>项高远</t>
  </si>
  <si>
    <t>陈梦姣</t>
  </si>
  <si>
    <t>陈欣怡</t>
  </si>
  <si>
    <t>高颖</t>
  </si>
  <si>
    <t>4'13"</t>
  </si>
  <si>
    <t>管明铭</t>
  </si>
  <si>
    <t>4'21"</t>
  </si>
  <si>
    <t>洪玟雯</t>
  </si>
  <si>
    <t>华晓颂</t>
  </si>
  <si>
    <t>黄宁儿</t>
  </si>
  <si>
    <t>江子豪</t>
  </si>
  <si>
    <t>曹惠音</t>
  </si>
  <si>
    <t>3'30"</t>
  </si>
  <si>
    <t>邓镓滢</t>
  </si>
  <si>
    <t>公共事业管理1班</t>
  </si>
  <si>
    <t>170530107</t>
  </si>
  <si>
    <t>冯敏</t>
  </si>
  <si>
    <t>5'21"</t>
  </si>
  <si>
    <t>170530110</t>
  </si>
  <si>
    <t>韩悦婷</t>
  </si>
  <si>
    <t>170530111</t>
  </si>
  <si>
    <t>洪莹</t>
  </si>
  <si>
    <t>6'19"</t>
  </si>
  <si>
    <t>170530113</t>
  </si>
  <si>
    <t>黄晶</t>
  </si>
  <si>
    <t>170530114</t>
  </si>
  <si>
    <t>黄沁茹</t>
  </si>
  <si>
    <t>170530115</t>
  </si>
  <si>
    <t>江佩珊</t>
  </si>
  <si>
    <t>5'00"</t>
  </si>
  <si>
    <t>170530116</t>
  </si>
  <si>
    <t>姜彤</t>
  </si>
  <si>
    <t>170530117</t>
  </si>
  <si>
    <t>解伦</t>
  </si>
  <si>
    <t>170530119</t>
  </si>
  <si>
    <t>李嘉玲</t>
  </si>
  <si>
    <t>170530120</t>
  </si>
  <si>
    <t>栾姝璇</t>
  </si>
  <si>
    <t>3'35"</t>
  </si>
  <si>
    <t>170530121</t>
  </si>
  <si>
    <t>马雅文</t>
  </si>
  <si>
    <t>5'04"</t>
  </si>
  <si>
    <t>170530122</t>
  </si>
  <si>
    <t>潘静</t>
  </si>
  <si>
    <t>170530123</t>
  </si>
  <si>
    <t>沈雯婷</t>
  </si>
  <si>
    <t>170530124</t>
  </si>
  <si>
    <t>孙丽</t>
  </si>
  <si>
    <t>170530125</t>
  </si>
  <si>
    <t>王满婷</t>
  </si>
  <si>
    <t>170530126</t>
  </si>
  <si>
    <t>王沈丽</t>
  </si>
  <si>
    <t>170530127</t>
  </si>
  <si>
    <t>王恬</t>
  </si>
  <si>
    <t>4'36"</t>
  </si>
  <si>
    <t>170530128</t>
  </si>
  <si>
    <t>王馨</t>
  </si>
  <si>
    <t>170530129</t>
  </si>
  <si>
    <t>魏雪辰</t>
  </si>
  <si>
    <t>4'18"</t>
  </si>
  <si>
    <t>170530130</t>
  </si>
  <si>
    <t>吴文燕</t>
  </si>
  <si>
    <t>170530131</t>
  </si>
  <si>
    <t>谢可爱</t>
  </si>
  <si>
    <t>170530132</t>
  </si>
  <si>
    <t>叶睿琳</t>
  </si>
  <si>
    <t>170530133</t>
  </si>
  <si>
    <t>俞梦歆</t>
  </si>
  <si>
    <t>4'29"</t>
  </si>
  <si>
    <t>170530134</t>
  </si>
  <si>
    <t>张锦琪</t>
  </si>
  <si>
    <t>170530135</t>
  </si>
  <si>
    <t>赵玥暄</t>
  </si>
  <si>
    <t>170530136</t>
  </si>
  <si>
    <t>仲雪晨</t>
  </si>
  <si>
    <t>170530137</t>
  </si>
  <si>
    <t>周可宁</t>
  </si>
  <si>
    <t>170530138</t>
  </si>
  <si>
    <t>周巧</t>
  </si>
  <si>
    <t>周颖怡</t>
  </si>
  <si>
    <t>3'42"</t>
  </si>
  <si>
    <t>170530141</t>
  </si>
  <si>
    <t>胡威</t>
  </si>
  <si>
    <t>5'12"</t>
  </si>
  <si>
    <t>170530142</t>
  </si>
  <si>
    <t>李膳佑</t>
  </si>
  <si>
    <t>170530144</t>
  </si>
  <si>
    <t>倪珺彦</t>
  </si>
  <si>
    <t>170530145</t>
  </si>
  <si>
    <t>苏鼎浩</t>
  </si>
  <si>
    <t>170530146</t>
  </si>
  <si>
    <t>吴霖易</t>
  </si>
  <si>
    <t>170530148</t>
  </si>
  <si>
    <t>张更新</t>
  </si>
  <si>
    <t>170530150</t>
  </si>
  <si>
    <t>周鑫涛</t>
  </si>
  <si>
    <t>170530151</t>
  </si>
  <si>
    <t>朱文源</t>
  </si>
  <si>
    <t>170530152</t>
  </si>
  <si>
    <t>朱子鹏</t>
  </si>
  <si>
    <t>5'14"</t>
  </si>
  <si>
    <t>杜士海</t>
  </si>
  <si>
    <t>170530101</t>
  </si>
  <si>
    <t>蔡粤霞</t>
  </si>
  <si>
    <t>陈小云</t>
  </si>
  <si>
    <t>170530105</t>
  </si>
  <si>
    <t>戴筱岚</t>
  </si>
  <si>
    <t>170530106</t>
  </si>
  <si>
    <t>戴雨青</t>
  </si>
  <si>
    <t>4'26"</t>
  </si>
  <si>
    <t>王伟成</t>
  </si>
  <si>
    <t>法学一班</t>
  </si>
  <si>
    <t>杨哲溢</t>
  </si>
  <si>
    <t>曾思云</t>
  </si>
  <si>
    <t>﻿</t>
  </si>
  <si>
    <t>3'31"</t>
  </si>
  <si>
    <t>张梦圆</t>
  </si>
  <si>
    <t>张舒逸</t>
  </si>
  <si>
    <t>张臻莹</t>
  </si>
  <si>
    <t>5'17"</t>
  </si>
  <si>
    <t>赵淑君</t>
  </si>
  <si>
    <t>赵煜雯</t>
  </si>
  <si>
    <t>钟德芝</t>
  </si>
  <si>
    <t>周静静</t>
  </si>
  <si>
    <t>朱凌霜</t>
  </si>
  <si>
    <t>陈国安</t>
  </si>
  <si>
    <t>杜沛东</t>
  </si>
  <si>
    <t>4'00"</t>
  </si>
  <si>
    <t>何人可</t>
  </si>
  <si>
    <t>5'10"</t>
  </si>
  <si>
    <t>黄浩</t>
  </si>
  <si>
    <t>3'55"</t>
  </si>
  <si>
    <t>宋闻焕</t>
  </si>
  <si>
    <t>4'44"</t>
  </si>
  <si>
    <t>魏来</t>
  </si>
  <si>
    <t>吴永逸</t>
  </si>
  <si>
    <t>姚振军</t>
  </si>
  <si>
    <t>张霄鹏</t>
  </si>
  <si>
    <t>朱昱星</t>
  </si>
  <si>
    <t>曹珍珍</t>
  </si>
  <si>
    <t>陈梦燚</t>
  </si>
  <si>
    <t>4'59"</t>
  </si>
  <si>
    <t>陈唯一</t>
  </si>
  <si>
    <t>陈瑶</t>
  </si>
  <si>
    <t>董慧慧</t>
  </si>
  <si>
    <t>杜嘉怡</t>
  </si>
  <si>
    <t>范可涵</t>
  </si>
  <si>
    <t>房宇</t>
  </si>
  <si>
    <t>顾园园</t>
  </si>
  <si>
    <t>韩笑</t>
  </si>
  <si>
    <t>胡沁然</t>
  </si>
  <si>
    <t>5'01"</t>
  </si>
  <si>
    <t>黄慧丽</t>
  </si>
  <si>
    <t>解永菁</t>
  </si>
  <si>
    <t>李婕</t>
  </si>
  <si>
    <t>李振坤</t>
  </si>
  <si>
    <t>林君如</t>
  </si>
  <si>
    <t>刘琳琳</t>
  </si>
  <si>
    <t>刘晴</t>
  </si>
  <si>
    <t>罗超怡</t>
  </si>
  <si>
    <t>马睿</t>
  </si>
  <si>
    <t>莫楚球</t>
  </si>
  <si>
    <t>齐晴晴</t>
  </si>
  <si>
    <t>4'47"</t>
  </si>
  <si>
    <t>秦璐瑶</t>
  </si>
  <si>
    <t>曲博</t>
  </si>
  <si>
    <t>阮晓怡</t>
  </si>
  <si>
    <t>沙雯</t>
  </si>
  <si>
    <t>孙乐怡</t>
  </si>
  <si>
    <t>汤婉婷</t>
  </si>
  <si>
    <t>滕涵乐</t>
  </si>
  <si>
    <t>王蒂</t>
  </si>
  <si>
    <t>王竞</t>
  </si>
  <si>
    <t>王瑞卓</t>
  </si>
  <si>
    <t>魏艳</t>
  </si>
  <si>
    <t>吴叶淇</t>
  </si>
  <si>
    <t>武苏云</t>
  </si>
  <si>
    <t>谢紫迪</t>
  </si>
  <si>
    <t>徐千惠</t>
  </si>
  <si>
    <t>徐芷馨</t>
  </si>
  <si>
    <t>许佳瑜</t>
  </si>
  <si>
    <t>杨璠</t>
  </si>
  <si>
    <t>戴誉</t>
  </si>
  <si>
    <t>王耀威</t>
  </si>
  <si>
    <t>4'34"</t>
  </si>
  <si>
    <t>时禹行</t>
  </si>
  <si>
    <t>李婧</t>
  </si>
  <si>
    <t>杨臻</t>
  </si>
  <si>
    <t>邹文静</t>
  </si>
  <si>
    <t>朱沛沛</t>
  </si>
  <si>
    <t>法学二班</t>
  </si>
  <si>
    <t>陈灏怡</t>
  </si>
  <si>
    <t>陈汝芝</t>
  </si>
  <si>
    <t>陈雅婷</t>
  </si>
  <si>
    <t>邓慧怡</t>
  </si>
  <si>
    <t>3'40"</t>
  </si>
  <si>
    <t>董冉</t>
  </si>
  <si>
    <t>樊越</t>
  </si>
  <si>
    <t>赵昱恺</t>
  </si>
  <si>
    <t>耿佳霈</t>
  </si>
  <si>
    <t>黎美霞</t>
  </si>
  <si>
    <t>李双江</t>
  </si>
  <si>
    <t>王托阳</t>
  </si>
  <si>
    <t>范译文</t>
  </si>
  <si>
    <t>3'47"</t>
  </si>
  <si>
    <t>顾晓涵</t>
  </si>
  <si>
    <t>郭铃钰</t>
  </si>
  <si>
    <t>洪涵艳</t>
  </si>
  <si>
    <t>黄惠彦</t>
  </si>
  <si>
    <t>黄青云</t>
  </si>
  <si>
    <t>金艺</t>
  </si>
  <si>
    <t>李宛瑾</t>
  </si>
  <si>
    <t>梁琪琪</t>
  </si>
  <si>
    <t>林垚希</t>
  </si>
  <si>
    <t>刘琪钰</t>
  </si>
  <si>
    <t>刘杨</t>
  </si>
  <si>
    <t>宁静</t>
  </si>
  <si>
    <t>钱青青</t>
  </si>
  <si>
    <t>秦颖</t>
  </si>
  <si>
    <t>芮瑞</t>
  </si>
  <si>
    <t>苏少君</t>
  </si>
  <si>
    <t>孙叶</t>
  </si>
  <si>
    <t>汤子凌</t>
  </si>
  <si>
    <t>田蜜</t>
  </si>
  <si>
    <t>王晶晶</t>
  </si>
  <si>
    <t>王倩倩</t>
  </si>
  <si>
    <t>王颖玥</t>
  </si>
  <si>
    <t>吴洁</t>
  </si>
  <si>
    <t>吴余</t>
  </si>
  <si>
    <t>向鋆鑫</t>
  </si>
  <si>
    <t>徐佳</t>
  </si>
  <si>
    <t>徐幸</t>
  </si>
  <si>
    <t>许晨雨萱</t>
  </si>
  <si>
    <t>许芸恺</t>
  </si>
  <si>
    <t>杨静怡</t>
  </si>
  <si>
    <t>余建媛</t>
  </si>
  <si>
    <t>张颖娴</t>
  </si>
  <si>
    <t>赵文婕</t>
  </si>
  <si>
    <t>郑苏姗</t>
  </si>
  <si>
    <t>钟少韫</t>
  </si>
  <si>
    <t>3'46"</t>
  </si>
  <si>
    <t>周婉仪</t>
  </si>
  <si>
    <t>庄洁</t>
  </si>
  <si>
    <t>陈洛嘉</t>
  </si>
  <si>
    <t>6'00"</t>
  </si>
  <si>
    <t>姜重百</t>
  </si>
  <si>
    <t>李昊翰</t>
  </si>
  <si>
    <t>林志颖</t>
  </si>
  <si>
    <t>4'52"</t>
  </si>
  <si>
    <t>马腾</t>
  </si>
  <si>
    <t>王修尧</t>
  </si>
  <si>
    <t>吴颂坚</t>
  </si>
  <si>
    <t>杨于禹</t>
  </si>
  <si>
    <t>叶嘉禾</t>
  </si>
  <si>
    <t>5'11"</t>
  </si>
  <si>
    <t>周林逸</t>
  </si>
  <si>
    <t>卓仕钊</t>
  </si>
  <si>
    <t>通信一班</t>
  </si>
  <si>
    <t>张佳颐</t>
  </si>
  <si>
    <t>林嘉俊</t>
  </si>
  <si>
    <t>张为</t>
  </si>
  <si>
    <t>张宇翰</t>
  </si>
  <si>
    <t>赵文韬</t>
  </si>
  <si>
    <t>郑昌盛</t>
  </si>
  <si>
    <t>周钲潮</t>
  </si>
  <si>
    <t>4'32"</t>
  </si>
  <si>
    <t>张家鑫</t>
  </si>
  <si>
    <t>4'43"</t>
  </si>
  <si>
    <t>钟润铭</t>
  </si>
  <si>
    <t>陈安琦</t>
  </si>
  <si>
    <t>李艳华</t>
  </si>
  <si>
    <t>林容</t>
  </si>
  <si>
    <t>秦朗芸</t>
  </si>
  <si>
    <t>王兰</t>
  </si>
  <si>
    <t>杨玉霞</t>
  </si>
  <si>
    <t>周群利</t>
  </si>
  <si>
    <t>陈金鹏</t>
  </si>
  <si>
    <t>4'38"</t>
  </si>
  <si>
    <t>成明高</t>
  </si>
  <si>
    <t>仇钇恒</t>
  </si>
  <si>
    <t>何沛宇</t>
  </si>
  <si>
    <t>黄乐天</t>
  </si>
  <si>
    <t>金益涵</t>
  </si>
  <si>
    <t>李创浩</t>
  </si>
  <si>
    <t>李攀</t>
  </si>
  <si>
    <t>刘力玮</t>
  </si>
  <si>
    <t>5'34"</t>
  </si>
  <si>
    <t>任浩</t>
  </si>
  <si>
    <t>王柏钧</t>
  </si>
  <si>
    <t>王一筑</t>
  </si>
  <si>
    <t>吴昊</t>
  </si>
  <si>
    <t>3'24"</t>
  </si>
  <si>
    <t>伍滔</t>
  </si>
  <si>
    <t>4'48"</t>
  </si>
  <si>
    <t>季燕宇</t>
  </si>
  <si>
    <t>祁华艳</t>
  </si>
  <si>
    <t>孙慧雨晴</t>
  </si>
  <si>
    <t>叶伟杰</t>
  </si>
  <si>
    <t>华胜</t>
  </si>
  <si>
    <t>5'37"</t>
  </si>
  <si>
    <t>姜慎龙</t>
  </si>
  <si>
    <t>金涛</t>
  </si>
  <si>
    <t>李剑宇</t>
  </si>
  <si>
    <t>李一齐</t>
  </si>
  <si>
    <t>5'36"</t>
  </si>
  <si>
    <t>梁新华</t>
  </si>
  <si>
    <t>4'50"</t>
  </si>
  <si>
    <t>凌天尧</t>
  </si>
  <si>
    <t>陆航</t>
  </si>
  <si>
    <t>4'37"</t>
  </si>
  <si>
    <t>全立</t>
  </si>
  <si>
    <t>石何政</t>
  </si>
  <si>
    <t>仝循天</t>
  </si>
  <si>
    <t>吴宇航</t>
  </si>
  <si>
    <t>通信二班</t>
  </si>
  <si>
    <t>胡婷婷</t>
  </si>
  <si>
    <t>5'15"</t>
  </si>
  <si>
    <t>严添翼</t>
  </si>
  <si>
    <t>杨雨康</t>
  </si>
  <si>
    <t>朱庆成</t>
  </si>
  <si>
    <t>吴庆梓</t>
  </si>
  <si>
    <t>许於</t>
  </si>
  <si>
    <t>张宁</t>
  </si>
  <si>
    <t>赵禹鸥</t>
  </si>
  <si>
    <t>3'45"</t>
  </si>
  <si>
    <t>陈如滢</t>
  </si>
  <si>
    <t>纪晓鸣</t>
  </si>
  <si>
    <t>侍言</t>
  </si>
  <si>
    <t>许程雅</t>
  </si>
  <si>
    <t>4'35"</t>
  </si>
  <si>
    <t>葛威</t>
  </si>
  <si>
    <t>5'27"</t>
  </si>
  <si>
    <t>黄海洋</t>
  </si>
  <si>
    <t>李文浩</t>
  </si>
  <si>
    <t>刘翔宇</t>
  </si>
  <si>
    <t>5'33"</t>
  </si>
  <si>
    <t>潘林丰</t>
  </si>
  <si>
    <t>祁浩</t>
  </si>
  <si>
    <t>任家琪</t>
  </si>
  <si>
    <t>孙睿</t>
  </si>
  <si>
    <t>4'53"</t>
  </si>
  <si>
    <t>傅萍</t>
  </si>
  <si>
    <t>黄思妤</t>
  </si>
  <si>
    <t>李东玥</t>
  </si>
  <si>
    <t>李颖</t>
  </si>
  <si>
    <t>邵寒冰</t>
  </si>
  <si>
    <t>王文玭</t>
  </si>
  <si>
    <t>谢岱霓</t>
  </si>
  <si>
    <t>朱静</t>
  </si>
  <si>
    <t>陈孔辉</t>
  </si>
  <si>
    <t>程淦</t>
  </si>
  <si>
    <t>戴昀昊</t>
  </si>
  <si>
    <t>范傲</t>
  </si>
  <si>
    <t>蒋文涵</t>
  </si>
  <si>
    <t>李明骆</t>
  </si>
  <si>
    <t>李威</t>
  </si>
  <si>
    <t>李仲达</t>
  </si>
  <si>
    <t>刘立宇</t>
  </si>
  <si>
    <t>孙宇哲</t>
  </si>
  <si>
    <t>王锦州</t>
  </si>
  <si>
    <t>王涛</t>
  </si>
  <si>
    <t>赵伟凯</t>
  </si>
  <si>
    <t>班级名称</t>
  </si>
  <si>
    <t>学籍号</t>
  </si>
  <si>
    <t>出生日期</t>
  </si>
  <si>
    <t>学生来源</t>
  </si>
  <si>
    <t>身份证号</t>
  </si>
  <si>
    <t>家庭住址</t>
  </si>
  <si>
    <t>320100</t>
  </si>
  <si>
    <t>320102199711214229</t>
  </si>
  <si>
    <t>江苏省南京市小卫街216号东郊美树苑7幢401室</t>
  </si>
  <si>
    <t>321200</t>
  </si>
  <si>
    <t>32128319991112904X</t>
  </si>
  <si>
    <t>江苏省泰兴市中心大道76号501室</t>
  </si>
  <si>
    <t>321282199909110044</t>
  </si>
  <si>
    <t>江苏省泰州市靖江市御水湾1期9幢</t>
  </si>
  <si>
    <t>321300</t>
  </si>
  <si>
    <t>321322199903040021</t>
  </si>
  <si>
    <t>江苏省宿迁市沭阳县东方广场6号</t>
  </si>
  <si>
    <t>532726199901273021</t>
  </si>
  <si>
    <t>云南省普洱市镇沅县绿海路37号4幢2单元501室</t>
  </si>
  <si>
    <t>320411199809157325</t>
  </si>
  <si>
    <t>江苏省常州市新北区孟河镇大圩埭32号</t>
  </si>
  <si>
    <t>320600</t>
  </si>
  <si>
    <t>320683199902127561</t>
  </si>
  <si>
    <t>江苏省南通市通州区兴东镇永护村东13组</t>
  </si>
  <si>
    <t>510502199905130725</t>
  </si>
  <si>
    <t>江苏省扬州市邗江区邗江中路324号1幢金鼎公寓</t>
  </si>
  <si>
    <t>330226199902153703</t>
  </si>
  <si>
    <t>浙江省宁波市宁海县桃源街道堤树窑山路26弄15号</t>
  </si>
  <si>
    <t>320483199812053721</t>
  </si>
  <si>
    <t>江苏省常州市武进区湖滨花园29幢甲单元301</t>
  </si>
  <si>
    <t>360421199911063827</t>
  </si>
  <si>
    <t>江西省九江市开发区观澜盛世三栋二单元706</t>
  </si>
  <si>
    <t>330300</t>
  </si>
  <si>
    <t>330326199909284728</t>
  </si>
  <si>
    <t>浙江省温州市平阳县萧江镇岩山村上屋8号</t>
  </si>
  <si>
    <t>342622199705075822</t>
  </si>
  <si>
    <t>安徽省合肥市庐江县砖桥乡张岭村</t>
  </si>
  <si>
    <t>320200</t>
  </si>
  <si>
    <t>320282199903236040</t>
  </si>
  <si>
    <t>江苏省无锡市宜兴市高塍镇范道都市港湾22栋103室</t>
  </si>
  <si>
    <t>532128199805256125</t>
  </si>
  <si>
    <t>云南省昭通市镇雄县诸宗村民委员会山背后组9号</t>
  </si>
  <si>
    <t>330324199812120265</t>
  </si>
  <si>
    <t>江苏省南京市建邺区梦都大街128号紫鑫中华广场10栋3单元1605室</t>
  </si>
  <si>
    <t>331082199807173045</t>
  </si>
  <si>
    <t>浙江省台州市临海市河头镇河头村广播站对面</t>
  </si>
  <si>
    <t>320500</t>
  </si>
  <si>
    <t>320582199907196417</t>
  </si>
  <si>
    <t>江苏省苏州市张家港市杨舍镇梁丰花园75幢304室</t>
  </si>
  <si>
    <t>330881199911111916</t>
  </si>
  <si>
    <t>浙江省衢州市江山市碗窑乡於头基45号</t>
  </si>
  <si>
    <t>320483199903210913</t>
  </si>
  <si>
    <t>江苏省常州市武进区湖塘镇湖西新村712-12号</t>
  </si>
  <si>
    <t>362529199912160010</t>
  </si>
  <si>
    <t>江苏省扬州市江都区双沟麦香村</t>
  </si>
  <si>
    <t>530381199810021153</t>
  </si>
  <si>
    <t>云南省宣威市宝山镇 德马田83号孙家村</t>
  </si>
  <si>
    <t>53292519990411002X</t>
  </si>
  <si>
    <t>云南省大理白族自治州弥渡县弥城镇中和路粮食小区一栋一单元</t>
  </si>
  <si>
    <t>320581199906300140</t>
  </si>
  <si>
    <t>江苏省苏州市常熟市虞山镇南山花园一区18幢</t>
  </si>
  <si>
    <t>320114199902162121</t>
  </si>
  <si>
    <t>江苏省南京市雨花台区赛虹桥街道雨花南路32号</t>
  </si>
  <si>
    <t>320621199905085740</t>
  </si>
  <si>
    <t>江苏省南通市海安县曲塘镇周桥花苑2栋2单元101室</t>
  </si>
  <si>
    <t>341002199908120225</t>
  </si>
  <si>
    <t>安徽省黄山市屯溪区站前路铁路公寓60幢401室</t>
  </si>
  <si>
    <t>320501199906042266</t>
  </si>
  <si>
    <t>江苏省苏州市虎丘区新创竹园22幢403室</t>
  </si>
  <si>
    <t>321000</t>
  </si>
  <si>
    <t>321023199811224624</t>
  </si>
  <si>
    <t>江苏省扬州市宝应县氾水镇龙河村双沟组21-1号</t>
  </si>
  <si>
    <t>411425199811122122</t>
  </si>
  <si>
    <t>河南省虞城县沙集乡胡楼003号</t>
  </si>
  <si>
    <t>330326199903151422</t>
  </si>
  <si>
    <t>浙江省温州市平阳县萧江镇后垟村153号</t>
  </si>
  <si>
    <t>320621199907108723</t>
  </si>
  <si>
    <t>江苏省盐城市东台市秀峰华庭15号楼102室</t>
  </si>
  <si>
    <t>321323199908271925</t>
  </si>
  <si>
    <t>上海市宝山区罗店镇美罗家园美安路215弄1号401</t>
  </si>
  <si>
    <t>330324199907032823</t>
  </si>
  <si>
    <t>浙江省温州市鹿城区新城豪都花园b幢1301</t>
  </si>
  <si>
    <t>342401200001018160</t>
  </si>
  <si>
    <t>江苏省苏州市昆山市凤凰城47栋2单元605室</t>
  </si>
  <si>
    <t>321081199905253921</t>
  </si>
  <si>
    <t>江苏省扬州市仪征市新集镇庙山村高庄组14号</t>
  </si>
  <si>
    <t xml:space="preserve"> 陈丹敏</t>
  </si>
  <si>
    <t xml:space="preserve"> 1999/03/12</t>
  </si>
  <si>
    <t>331081199903122129</t>
  </si>
  <si>
    <t xml:space="preserve">  浙江省温岭市城东街道西岙嘴村97号</t>
  </si>
  <si>
    <t xml:space="preserve"> 陈肖冰</t>
  </si>
  <si>
    <t xml:space="preserve"> 1999/04/03</t>
  </si>
  <si>
    <t>320382199904031624</t>
  </si>
  <si>
    <t xml:space="preserve">  江苏省徐州市邳州市新城区左东村左东庄7组</t>
  </si>
  <si>
    <t xml:space="preserve"> 封晔</t>
  </si>
  <si>
    <t xml:space="preserve"> 1999/07/05</t>
  </si>
  <si>
    <t>320281199907052525</t>
  </si>
  <si>
    <t xml:space="preserve">  江苏省江阴市澄江街道文定路1号兴澄锦苑10单元201</t>
  </si>
  <si>
    <t xml:space="preserve"> 顾康顺</t>
  </si>
  <si>
    <t xml:space="preserve"> 1999/07/31</t>
  </si>
  <si>
    <t>320504199907313047</t>
  </si>
  <si>
    <t xml:space="preserve">  江苏省苏州市姑苏区彩香新村四区21幢201室</t>
  </si>
  <si>
    <t xml:space="preserve"> 胡雨晴</t>
  </si>
  <si>
    <t xml:space="preserve"> 1999/08/11</t>
  </si>
  <si>
    <t>360103199908110048</t>
  </si>
  <si>
    <t xml:space="preserve">  江西省南昌市西湖区桃苑住宅一区33栋3单元302室</t>
  </si>
  <si>
    <t xml:space="preserve"> 黄丽颖</t>
  </si>
  <si>
    <t xml:space="preserve"> 1999/08/24</t>
  </si>
  <si>
    <t>320681199908244424</t>
  </si>
  <si>
    <t xml:space="preserve">  江苏省启东市寅阳镇寅东村二组12号</t>
  </si>
  <si>
    <t xml:space="preserve"> 嵇文婧</t>
  </si>
  <si>
    <t>321281199908246664</t>
  </si>
  <si>
    <t xml:space="preserve">  扬州市邗江区三星路21号月明苑3172幢503室</t>
  </si>
  <si>
    <t xml:space="preserve"> 孔梦梦</t>
  </si>
  <si>
    <t xml:space="preserve"> 1998/08/28</t>
  </si>
  <si>
    <t>412722199808283521</t>
  </si>
  <si>
    <t xml:space="preserve">  河南省漯河市郾城区邙山路中段向阳小学西怡水华庭11栋2单元2楼</t>
  </si>
  <si>
    <t xml:space="preserve"> 李雯</t>
  </si>
  <si>
    <t xml:space="preserve"> 1999/09/14</t>
  </si>
  <si>
    <t>320504199909144048</t>
  </si>
  <si>
    <t xml:space="preserve">  江苏省苏州市姑苏区城北街道华恒家园13幢103室</t>
  </si>
  <si>
    <t xml:space="preserve"> 厉美娜</t>
  </si>
  <si>
    <t xml:space="preserve"> 1998/11/02</t>
  </si>
  <si>
    <t>330727199811024723</t>
  </si>
  <si>
    <t xml:space="preserve">  浙江省金华市磐安县尚湖镇尚湖村南街35号</t>
  </si>
  <si>
    <t xml:space="preserve"> 刘丽金</t>
  </si>
  <si>
    <t xml:space="preserve"> 1999/05/16</t>
  </si>
  <si>
    <t>32058619990516242X</t>
  </si>
  <si>
    <t xml:space="preserve">  江苏省苏州市高新区通安镇街西村（15）街西头49号</t>
  </si>
  <si>
    <t xml:space="preserve"> 刘田田</t>
  </si>
  <si>
    <t xml:space="preserve"> 1999/12/06</t>
  </si>
  <si>
    <t>320724199912063026</t>
  </si>
  <si>
    <t xml:space="preserve">  江苏省连云港市灌南县孟兴庄乡西南村三组</t>
  </si>
  <si>
    <t xml:space="preserve"> 陆鑫</t>
  </si>
  <si>
    <t xml:space="preserve"> 1999/05/19</t>
  </si>
  <si>
    <t>33252619990519332X</t>
  </si>
  <si>
    <t xml:space="preserve">  浙江省缙云县壶镇中学</t>
  </si>
  <si>
    <t xml:space="preserve"> 马文清</t>
  </si>
  <si>
    <t xml:space="preserve"> 1999/06/15</t>
  </si>
  <si>
    <t>320830199906151428</t>
  </si>
  <si>
    <t xml:space="preserve">  江苏省盱眙县铁佛镇邓圩居委会蔡圩组12号</t>
  </si>
  <si>
    <t xml:space="preserve"> 潘鑫</t>
  </si>
  <si>
    <t xml:space="preserve"> 1999/06/17</t>
  </si>
  <si>
    <t>321283199906176626</t>
  </si>
  <si>
    <t xml:space="preserve">  江苏省泰州市泰兴市虹桥镇七圩村匹圩5组8号</t>
  </si>
  <si>
    <t xml:space="preserve"> 钱悦</t>
  </si>
  <si>
    <t xml:space="preserve"> 1999/01/01</t>
  </si>
  <si>
    <t>321084199901013284</t>
  </si>
  <si>
    <t xml:space="preserve">  江苏省高邮市文游中路209-6</t>
  </si>
  <si>
    <t xml:space="preserve"> 宋文轩</t>
  </si>
  <si>
    <t xml:space="preserve"> 1999/11/10</t>
  </si>
  <si>
    <t>320700</t>
  </si>
  <si>
    <t>320705199911105520</t>
  </si>
  <si>
    <t xml:space="preserve">  江苏省连云港市海州区南城镇新大街170-2号</t>
  </si>
  <si>
    <t xml:space="preserve"> 童麦青</t>
  </si>
  <si>
    <t xml:space="preserve"> 1999/04/28</t>
  </si>
  <si>
    <t>330182199904283224</t>
  </si>
  <si>
    <t xml:space="preserve">  上海市奉贤区大叶公路尚海格调6288弄117号</t>
  </si>
  <si>
    <t xml:space="preserve"> 王依婷</t>
  </si>
  <si>
    <t xml:space="preserve"> 1999/02/16</t>
  </si>
  <si>
    <t>330501199902163468</t>
  </si>
  <si>
    <t xml:space="preserve">  浙江省湖州市吴兴区环渚乡塘甸街55号</t>
  </si>
  <si>
    <t xml:space="preserve"> 魏雅婷</t>
  </si>
  <si>
    <t xml:space="preserve"> 1998/01/29</t>
  </si>
  <si>
    <t>321101199801292022</t>
  </si>
  <si>
    <t xml:space="preserve">  江苏省镇江新区经发花苑1幢502</t>
  </si>
  <si>
    <t xml:space="preserve"> 吴昕</t>
  </si>
  <si>
    <t xml:space="preserve"> 1999/01/29</t>
  </si>
  <si>
    <t>330782199901291328</t>
  </si>
  <si>
    <t xml:space="preserve">  浙江省义乌市上溪镇和平村四通西路147号</t>
  </si>
  <si>
    <t xml:space="preserve"> 徐小洁</t>
  </si>
  <si>
    <t xml:space="preserve"> 1999/11/20</t>
  </si>
  <si>
    <t>320900</t>
  </si>
  <si>
    <t>320902199911201020</t>
  </si>
  <si>
    <t xml:space="preserve">  江苏省盐城市新日月翠洲嘉园60号楼一单元301</t>
  </si>
  <si>
    <t xml:space="preserve"> 杨惠煜</t>
  </si>
  <si>
    <t xml:space="preserve"> 1999/07/19</t>
  </si>
  <si>
    <t>330903199907192529</t>
  </si>
  <si>
    <t xml:space="preserve">  浙江省舟山市普陀区朱家尖街道莲花社区后厂55号</t>
  </si>
  <si>
    <t xml:space="preserve"> 姚煜旻</t>
  </si>
  <si>
    <t xml:space="preserve"> 1998/07/13</t>
  </si>
  <si>
    <t>321282199807131223</t>
  </si>
  <si>
    <t xml:space="preserve">  江苏省靖江市斜桥镇筱山村4组3号</t>
  </si>
  <si>
    <t xml:space="preserve"> 余晓雨</t>
  </si>
  <si>
    <t xml:space="preserve"> 2000/01/19</t>
  </si>
  <si>
    <t>320123200001191621</t>
  </si>
  <si>
    <t xml:space="preserve">  江苏省南京市栖霞区仙林大道9号（海陵药业）</t>
  </si>
  <si>
    <t xml:space="preserve"> 张文莉</t>
  </si>
  <si>
    <t xml:space="preserve"> 1999/10/03</t>
  </si>
  <si>
    <t>341225199910035543</t>
  </si>
  <si>
    <t xml:space="preserve">  南京市浦口区夹河新村279号（夹河新村供气站）</t>
  </si>
  <si>
    <t xml:space="preserve"> 章婷</t>
  </si>
  <si>
    <t xml:space="preserve"> 1999/05/30</t>
  </si>
  <si>
    <t>320202199905303524</t>
  </si>
  <si>
    <t xml:space="preserve">  江苏省无锡市崇安区靖海新村90#301室</t>
  </si>
  <si>
    <t xml:space="preserve"> 钟徐景</t>
  </si>
  <si>
    <t xml:space="preserve"> 1998/10/20</t>
  </si>
  <si>
    <t>332529199810203328</t>
  </si>
  <si>
    <t xml:space="preserve">  浙江省温州市瑞安市上望街道雅儒村东方巷4号前轩</t>
  </si>
  <si>
    <t xml:space="preserve"> 周诗颖</t>
  </si>
  <si>
    <t xml:space="preserve"> 1999/09/27</t>
  </si>
  <si>
    <t>320282199909271429</t>
  </si>
  <si>
    <t xml:space="preserve">  江苏省无锡市宜兴市丁蜀镇西望村综合楼013号</t>
  </si>
  <si>
    <t xml:space="preserve"> 朱雨婷</t>
  </si>
  <si>
    <t xml:space="preserve"> 1998/09/24</t>
  </si>
  <si>
    <t>330381199809244248</t>
  </si>
  <si>
    <t xml:space="preserve">  浙江省湖州市吴兴区爱山街新天地内广场A18号</t>
  </si>
  <si>
    <t xml:space="preserve"> 高尚毅</t>
  </si>
  <si>
    <t xml:space="preserve"> 1998/01/09</t>
  </si>
  <si>
    <t>410901199801094039</t>
  </si>
  <si>
    <t xml:space="preserve">  濮阳市华龙区长庆路与任丘路交叉口向西100米国家电网</t>
  </si>
  <si>
    <t xml:space="preserve"> 何非非</t>
  </si>
  <si>
    <t xml:space="preserve"> 1999/01/26</t>
  </si>
  <si>
    <t>321023199901260872</t>
  </si>
  <si>
    <t xml:space="preserve">  江苏省扬州市宝应县氾水镇文化路迎丰村2号凯达园小区29号</t>
  </si>
  <si>
    <t xml:space="preserve"> 钱磊</t>
  </si>
  <si>
    <t xml:space="preserve"> 1999/08/03</t>
  </si>
  <si>
    <t>330382199908031412</t>
  </si>
  <si>
    <t xml:space="preserve">  浙江省温州市乐清白石街口村玉景街34号</t>
  </si>
  <si>
    <t xml:space="preserve"> 王红方</t>
  </si>
  <si>
    <t xml:space="preserve"> 1997/08/29</t>
  </si>
  <si>
    <t>412702199708296514</t>
  </si>
  <si>
    <t xml:space="preserve">  河南省项城市第一高级中学</t>
  </si>
  <si>
    <t xml:space="preserve"> 朱成杰</t>
  </si>
  <si>
    <t xml:space="preserve"> 1999/04/14</t>
  </si>
  <si>
    <t>320601199904141252</t>
  </si>
  <si>
    <t xml:space="preserve">  江苏省苏州市高新区竹园路信泰花苑80幢209室</t>
  </si>
  <si>
    <t xml:space="preserve"> 王嘉玮</t>
  </si>
  <si>
    <t>330102199901140066</t>
  </si>
  <si>
    <t xml:space="preserve">  浙江省杭州市上城区柳浪东苑2-3-302</t>
  </si>
  <si>
    <t>320602199909162521</t>
  </si>
  <si>
    <t>江苏省南通市崇川区兆丰嘉园72幢1504</t>
  </si>
  <si>
    <t>320922199811265428</t>
  </si>
  <si>
    <t>江苏省宜兴市丁蜀镇西望村河北组48号</t>
  </si>
  <si>
    <t>320683199906080828</t>
  </si>
  <si>
    <t>江苏省南通市金沙镇油榨村25组</t>
  </si>
  <si>
    <t>320123199912261023</t>
  </si>
  <si>
    <t>江苏省南京市六合区龙袍街道管家大酒店</t>
  </si>
  <si>
    <t>341181200008040023</t>
  </si>
  <si>
    <t>安徽省滁州天长市金太阳老年公寓</t>
  </si>
  <si>
    <t>321284199905145226</t>
  </si>
  <si>
    <t>江苏省泰州市姜堰区丽江花园1号楼二单元204室</t>
  </si>
  <si>
    <t>330203199905262441</t>
  </si>
  <si>
    <t>浙江省宁波市江北区三水湾小区29幢64号1001室</t>
  </si>
  <si>
    <t>320211199809194125</t>
  </si>
  <si>
    <t>江苏省无锡市梁溪区惠泉花园55号202</t>
  </si>
  <si>
    <t>330482199907272121</t>
  </si>
  <si>
    <t>浙江省嘉兴市平湖市独山港镇小营头村低场58号</t>
  </si>
  <si>
    <t>320481199901244623</t>
  </si>
  <si>
    <t>江苏省溧阳市上兴镇新隆街1号</t>
  </si>
  <si>
    <t>411324199901221923</t>
  </si>
  <si>
    <t>河南省南阳市镇平县晁陂镇余宅村</t>
  </si>
  <si>
    <t>330724199909152425</t>
  </si>
  <si>
    <t>浙江省金华市东阳市巍山镇渼沙东路19号</t>
  </si>
  <si>
    <t>320300</t>
  </si>
  <si>
    <t>320311199812265524</t>
  </si>
  <si>
    <t>江苏省徐州市泉山区西苑民乐园附8号楼3单元701</t>
  </si>
  <si>
    <t>330922199905272022</t>
  </si>
  <si>
    <t>浙江省舟山市嵊泗县菜园镇水晶苑7幢1单元102室</t>
  </si>
  <si>
    <t>32108419981102326x</t>
  </si>
  <si>
    <t>江苏省扬州市高邮卸甲镇龙奔焦山13号</t>
  </si>
  <si>
    <t>330782199811201923</t>
  </si>
  <si>
    <t>浙江省义乌市城西街道石明唐村282号</t>
  </si>
  <si>
    <t>321121199811053223</t>
  </si>
  <si>
    <t>江苏省镇江市辛丰镇东石村99号</t>
  </si>
  <si>
    <t>320112199906020427</t>
  </si>
  <si>
    <t>江苏省南京市六合区葛塘街道棠雅苑2幢204</t>
  </si>
  <si>
    <t>321284199903227623</t>
  </si>
  <si>
    <t>江苏省泰州市海陵区罡杨镇杨北村二十三组13号</t>
  </si>
  <si>
    <t xml:space="preserve">32011319980922642x  </t>
  </si>
  <si>
    <t>江苏省南京市鼓楼区三牌楼大街经典家园8栋402</t>
  </si>
  <si>
    <t>342626199811213286</t>
  </si>
  <si>
    <t>江苏省南京市玄武区锁金二村20幢三单元205室</t>
  </si>
  <si>
    <t>332522199911204405</t>
  </si>
  <si>
    <t>浙江省丽水市青田县鹤城镇上店街29号</t>
  </si>
  <si>
    <t>330382199911123625</t>
  </si>
  <si>
    <t>浙江省温州市乐清市柳市镇伟光花苑1栋1单元702室</t>
  </si>
  <si>
    <t>320581199906022128</t>
  </si>
  <si>
    <t>江苏省苏州市常熟市虞山镇莫干路燕巷二邨160幢</t>
  </si>
  <si>
    <t>320800</t>
  </si>
  <si>
    <t>320804199912210700</t>
  </si>
  <si>
    <t>江苏省淮安市淮阴区南陈集镇窑厂村5组</t>
  </si>
  <si>
    <t>320581199901101820</t>
  </si>
  <si>
    <t>江苏省常熟市尚湖镇南街3号</t>
  </si>
  <si>
    <t>321323199610034142</t>
  </si>
  <si>
    <t>江苏省宿迁市泗阳县张家圩镇农庄十二组</t>
  </si>
  <si>
    <t>320203199905022526</t>
  </si>
  <si>
    <t>江苏省无锡市九龙仓时代上城C区年华里16-1702</t>
  </si>
  <si>
    <t>320705199810093516</t>
  </si>
  <si>
    <t>江苏省连云港市海州区晨光路1号香溢广苑12号楼一单元404</t>
  </si>
  <si>
    <t>320382199809125016</t>
  </si>
  <si>
    <t>江苏省徐州市邳州市燕子埠镇</t>
  </si>
  <si>
    <t>330183199809020035</t>
  </si>
  <si>
    <t>浙江省杭州市富阳区富阳街道春华村</t>
  </si>
  <si>
    <t>320321199812131457</t>
  </si>
  <si>
    <t>江苏省徐州市丰县安福小区九号楼二单元501</t>
  </si>
  <si>
    <t>130429199707212416</t>
  </si>
  <si>
    <t>江苏省扬州市江都区中远欧洲城2—8 1502</t>
  </si>
  <si>
    <t>320584199803141529</t>
  </si>
  <si>
    <t>江苏省苏州市吴江区震泽镇大船港村22号</t>
  </si>
  <si>
    <t>17级公共事业（1）班</t>
  </si>
  <si>
    <t>1999/07/02</t>
  </si>
  <si>
    <t>321281199907027945</t>
  </si>
  <si>
    <t xml:space="preserve">  江苏省兴化中学</t>
  </si>
  <si>
    <t>1998/10/19</t>
  </si>
  <si>
    <t>320114199810193326</t>
  </si>
  <si>
    <t xml:space="preserve">  江苏省南京市雨花台区梅山街道457幢二单元102室</t>
  </si>
  <si>
    <t>1998/03/14</t>
  </si>
  <si>
    <t>44162219980314648X</t>
  </si>
  <si>
    <t xml:space="preserve">  惠州市惠城区江北街道金山汽车城德意大众后面的旺华便利店</t>
  </si>
  <si>
    <t>1999/07/31</t>
  </si>
  <si>
    <t>321183199907310027</t>
  </si>
  <si>
    <t xml:space="preserve">  江苏省句容市华阳镇宁杭南路73号2幢2单元401室</t>
  </si>
  <si>
    <t>1997/10/04</t>
  </si>
  <si>
    <t>500233199710046407</t>
  </si>
  <si>
    <t xml:space="preserve">  重庆市北碚区水土镇江北中学校</t>
  </si>
  <si>
    <t>1999/04/08</t>
  </si>
  <si>
    <t>445221199904085626</t>
  </si>
  <si>
    <t xml:space="preserve">  广州市番禺区大石富庭华园三街五座103</t>
  </si>
  <si>
    <t>1998/11/03</t>
  </si>
  <si>
    <t>330800</t>
  </si>
  <si>
    <t>330881199510048928</t>
  </si>
  <si>
    <t xml:space="preserve">  浙江省江山市城中路12栋楼254室</t>
  </si>
  <si>
    <t>1998/02/18</t>
  </si>
  <si>
    <t>320621199802188747</t>
  </si>
  <si>
    <t xml:space="preserve">  江苏省南通市海安县隆田花苑30幢305室</t>
  </si>
  <si>
    <t>1997/04/29</t>
  </si>
  <si>
    <t>44122419970429332X</t>
  </si>
  <si>
    <t xml:space="preserve">  广东省怀集县梁村镇栏马村委会大松组601号</t>
  </si>
  <si>
    <t>1999/10/17</t>
  </si>
  <si>
    <t>370481199910170020</t>
  </si>
  <si>
    <t xml:space="preserve">  四川省成都市青白江区大弯中学校</t>
  </si>
  <si>
    <t>1998/10/10</t>
  </si>
  <si>
    <t>32108819981010432X</t>
  </si>
  <si>
    <t xml:space="preserve">  江苏省扬州市江都区世纪名郡16幢1601</t>
  </si>
  <si>
    <t>1999/06/18</t>
  </si>
  <si>
    <t>320925199906184566</t>
  </si>
  <si>
    <t xml:space="preserve">  江苏省盐城市建湖县上冈高级中学</t>
  </si>
  <si>
    <t>1998/12/19</t>
  </si>
  <si>
    <t>320283199812196545</t>
  </si>
  <si>
    <t xml:space="preserve">  江苏省无锡市滨湖区华庄镇水乡苑二区4号门602室</t>
  </si>
  <si>
    <t>1998/08/13</t>
  </si>
  <si>
    <t>511622199808136721</t>
  </si>
  <si>
    <t xml:space="preserve">  云南省红河州泸西县中枢镇润城小区</t>
  </si>
  <si>
    <t>1998/10/11</t>
  </si>
  <si>
    <t>460004199810115822</t>
  </si>
  <si>
    <t xml:space="preserve">  广东省佛山市顺德区伦教镇伦常北路26号大幅名城*尚府3-501房</t>
  </si>
  <si>
    <t>1999/03/23</t>
  </si>
  <si>
    <t>320681199903233822</t>
  </si>
  <si>
    <t xml:space="preserve">  江苏省南通市启东市合作镇保田村十组8号</t>
  </si>
  <si>
    <t>1999/08/01</t>
  </si>
  <si>
    <t>330482199908012129</t>
  </si>
  <si>
    <t xml:space="preserve">  浙江省平湖市乍浦高级中学石国良老师转</t>
  </si>
  <si>
    <t>1999/09/08</t>
  </si>
  <si>
    <t>320831199909084220</t>
  </si>
  <si>
    <t xml:space="preserve">  江苏省常州市新北区富都新村南楼2幢乙单元602室</t>
  </si>
  <si>
    <t>1998/12/02</t>
  </si>
  <si>
    <t>321002199812024622</t>
  </si>
  <si>
    <t xml:space="preserve">  江苏省扬州市文昌中路492号珍园办公楼金螳螂广告公司</t>
  </si>
  <si>
    <t>320282199810102123</t>
  </si>
  <si>
    <t xml:space="preserve">  江苏省宜兴市东虹路下漳花园32幢402</t>
  </si>
  <si>
    <t>1999/04/11</t>
  </si>
  <si>
    <t>330227199904110025</t>
  </si>
  <si>
    <t xml:space="preserve">  浙江省宁波市海曙区长春路望湖市场1c-25号</t>
  </si>
  <si>
    <t>1999/07/03</t>
  </si>
  <si>
    <t>440200</t>
  </si>
  <si>
    <t>440229199907032622</t>
  </si>
  <si>
    <t xml:space="preserve">  广东省佛山市南海区大沥镇黄岐岐西路岐江广场B20H</t>
  </si>
  <si>
    <t>1999/09/29</t>
  </si>
  <si>
    <t>330683199909290822</t>
  </si>
  <si>
    <t xml:space="preserve">  浙江省嵊州市文星东路218号</t>
  </si>
  <si>
    <t>1999/01/03</t>
  </si>
  <si>
    <t>440305199904038222</t>
  </si>
  <si>
    <t xml:space="preserve">  深圳市南山区白石二道1号华侨城中学高中部</t>
  </si>
  <si>
    <t>1999/08/03</t>
  </si>
  <si>
    <t>34112219990803044X</t>
  </si>
  <si>
    <t xml:space="preserve">  上海市浦东新区沪东新村15号202室</t>
  </si>
  <si>
    <t>1998/12/31</t>
  </si>
  <si>
    <t>321023199812311025</t>
  </si>
  <si>
    <t xml:space="preserve">  江苏省扬州市宝应县亲亲家园10栋306室</t>
  </si>
  <si>
    <t>1999/08/05</t>
  </si>
  <si>
    <t>330281199908050443</t>
  </si>
  <si>
    <t xml:space="preserve">  浙江省余姚市姚江怡景6幢3单元1201室</t>
  </si>
  <si>
    <t>1998/12/08</t>
  </si>
  <si>
    <t>310225199812084628</t>
  </si>
  <si>
    <t xml:space="preserve">  上海市浦东新区古棕路168弄92号302室</t>
  </si>
  <si>
    <t>1998/10/27</t>
  </si>
  <si>
    <t>44072819981027064X</t>
  </si>
  <si>
    <t xml:space="preserve">  广东省江门市新会区会城同德三路3号407</t>
  </si>
  <si>
    <t>1998/10/18</t>
  </si>
  <si>
    <t>320322199810187314</t>
  </si>
  <si>
    <t xml:space="preserve">  江苏徐州沛县大屯煤电公司十二村三十号楼四单元308（朱宁华收</t>
  </si>
  <si>
    <t>1998/12/05</t>
  </si>
  <si>
    <t>441223199812055015</t>
  </si>
  <si>
    <t xml:space="preserve">  广东省肇庆市广宁县古水镇太和村委会平岗</t>
  </si>
  <si>
    <t>1998/11/18</t>
  </si>
  <si>
    <t>310115199811180919</t>
  </si>
  <si>
    <t xml:space="preserve">  上海浦东新区乳山路200弄37号301室</t>
  </si>
  <si>
    <t>1998/10/13</t>
  </si>
  <si>
    <t>440681199810135411</t>
  </si>
  <si>
    <t xml:space="preserve">  广东省佛山市顺德区容桂街道文海路寓品盈居二座903</t>
  </si>
  <si>
    <t>1999/02/10</t>
  </si>
  <si>
    <t>32100219990210241X</t>
  </si>
  <si>
    <t xml:space="preserve">  江苏省扬州市邗江区汊河镇向阳路201室</t>
  </si>
  <si>
    <t>1998/08/28</t>
  </si>
  <si>
    <t>411323199808286312</t>
  </si>
  <si>
    <t xml:space="preserve">  河南省镇平县第一高级中学三年级办公室</t>
  </si>
  <si>
    <t>320522199811185012</t>
  </si>
  <si>
    <t xml:space="preserve">  江苏省苏州市太仓市璜泾镇怀仁路20号</t>
  </si>
  <si>
    <t>1998/06/15</t>
  </si>
  <si>
    <t>440981199806153293</t>
  </si>
  <si>
    <t xml:space="preserve">  广东省高州市镇江镇大垌村委会低村村23号</t>
  </si>
  <si>
    <t>1999/02/08</t>
  </si>
  <si>
    <t>321324199902083815</t>
  </si>
  <si>
    <t xml:space="preserve">  江苏省无锡市新区万裕苑三期20栋1602</t>
  </si>
  <si>
    <t>1997/01/14</t>
  </si>
  <si>
    <t>341100</t>
  </si>
  <si>
    <t>341182199701141034</t>
  </si>
  <si>
    <t>安徽省滁州市明光市明珠苑一区15栋一单元102</t>
  </si>
  <si>
    <t>440582199802184943</t>
  </si>
  <si>
    <t xml:space="preserve">  广东省深圳市龙华新区观澜镇桂花村佳怡工业园鲁粤盛电子有限公司</t>
  </si>
  <si>
    <t>1998/06/26</t>
  </si>
  <si>
    <t>440981199806265922</t>
  </si>
  <si>
    <t xml:space="preserve">  广东省高州市长坡镇黄羌坡圹面村8号</t>
  </si>
  <si>
    <t>1998/11/17</t>
  </si>
  <si>
    <t>320283199811172701</t>
  </si>
  <si>
    <t xml:space="preserve">  江苏省无锡市锡山区东港镇里国菜场旁1-23号</t>
  </si>
  <si>
    <t>1999/01/23</t>
  </si>
  <si>
    <t>320102199901233228</t>
  </si>
  <si>
    <t xml:space="preserve">  江苏省南京市南京林业大学1村23幢605室</t>
  </si>
  <si>
    <t>1997/04/01</t>
  </si>
  <si>
    <t>320324199704010074</t>
  </si>
  <si>
    <t>江苏省无锡市惠山区凤翔馨城122号703室</t>
  </si>
  <si>
    <t>1999/11/02</t>
  </si>
  <si>
    <t>320325199911027028</t>
  </si>
  <si>
    <t xml:space="preserve">  江苏省镇江新区大港海德公园檀香园16栋104室</t>
  </si>
  <si>
    <t>1998/12/10</t>
  </si>
  <si>
    <t>320586199812102727</t>
  </si>
  <si>
    <t xml:space="preserve">  江苏省苏州市相城区黄埭镇东桥龙埝路8号（新辉福机械）</t>
  </si>
  <si>
    <t>1999/03/29</t>
  </si>
  <si>
    <t>320481199903296021</t>
  </si>
  <si>
    <t xml:space="preserve">  江苏省常州市溧阳市龙盛园11幢16楼1604号</t>
  </si>
  <si>
    <t>1999/11/16</t>
  </si>
  <si>
    <t>320982199911167565</t>
  </si>
  <si>
    <t xml:space="preserve"> 江苏省盐城市大丰区三龙镇渔业小街23号</t>
  </si>
  <si>
    <t>341623199908015227</t>
  </si>
  <si>
    <t xml:space="preserve">  安徽省马鞍山市塘西街道南塘社区站北村53栋404室</t>
  </si>
  <si>
    <t>1999/05/30</t>
  </si>
  <si>
    <t>410303199905303747</t>
  </si>
  <si>
    <t xml:space="preserve">  河南省新安县新城北京路38号邮政局附近</t>
  </si>
  <si>
    <t>1999/07/26</t>
  </si>
  <si>
    <t>321201199907260024</t>
  </si>
  <si>
    <t xml:space="preserve">  江苏省泰州市海陵区恒景国际C6101</t>
  </si>
  <si>
    <t>1998/08/06</t>
  </si>
  <si>
    <t>321023199808060227</t>
  </si>
  <si>
    <t xml:space="preserve">  江苏省南京市秦淮区洪武路299号607室</t>
  </si>
  <si>
    <t>1999/04/02</t>
  </si>
  <si>
    <t>321023199904026221</t>
  </si>
  <si>
    <t xml:space="preserve">  江苏省扬州市宝应县曹甸镇甄庄村11组21号</t>
  </si>
  <si>
    <t>23232119980314482X</t>
  </si>
  <si>
    <t>黑龙江省绥化市海伦市祥福镇永强村62号</t>
  </si>
  <si>
    <t>1999/04/16</t>
  </si>
  <si>
    <t>320107199904160820</t>
  </si>
  <si>
    <t xml:space="preserve">  江苏省南京市鼓楼区三牌楼大街113号604室</t>
  </si>
  <si>
    <t>1999/06/22</t>
  </si>
  <si>
    <t>320282199906227369</t>
  </si>
  <si>
    <t xml:space="preserve">  江苏省宜兴市芳桥镇岱华小区2幢503</t>
  </si>
  <si>
    <t>1999/03/08</t>
  </si>
  <si>
    <t>321088199903082027</t>
  </si>
  <si>
    <t xml:space="preserve">  江苏省扬州市江都区仙女镇江淮路127电表厂宿舍3幢404</t>
  </si>
  <si>
    <t>1998/04/18</t>
  </si>
  <si>
    <t>142225199804181022</t>
  </si>
  <si>
    <t xml:space="preserve">  山西省忻州市代县峨口镇东区9栋3单元1号</t>
  </si>
  <si>
    <t>1999/10/05</t>
  </si>
  <si>
    <t>140109199910054847</t>
  </si>
  <si>
    <t xml:space="preserve">  太原市万柏林区西矿街184号13号楼一层左起第四户</t>
  </si>
  <si>
    <t>1997/11/20</t>
  </si>
  <si>
    <t>441521199711203422</t>
  </si>
  <si>
    <t xml:space="preserve">  广东省深圳市龙岗区南湾街道樟树布社区一巷21号1楼</t>
  </si>
  <si>
    <t>1999/02/07</t>
  </si>
  <si>
    <t>321002199902074623</t>
  </si>
  <si>
    <t xml:space="preserve">  江苏省扬州市广陵区沙北二村28－1幢204室</t>
  </si>
  <si>
    <t>1999/02/18</t>
  </si>
  <si>
    <t>32038219990218888X</t>
  </si>
  <si>
    <t xml:space="preserve">  江苏省邳州市运河镇向阳村292-1号</t>
  </si>
  <si>
    <t>2000/01/01</t>
  </si>
  <si>
    <t>362322200001010126</t>
  </si>
  <si>
    <t xml:space="preserve">  江西省上饶市广丰区永丰镇永丰街道8号</t>
  </si>
  <si>
    <t>1999/05/03</t>
  </si>
  <si>
    <t>32058219990503852X</t>
  </si>
  <si>
    <t xml:space="preserve">  苏州市工业园区依顿花园25幢502室</t>
  </si>
  <si>
    <t>1997/12/21</t>
  </si>
  <si>
    <t>441224199712214089</t>
  </si>
  <si>
    <t xml:space="preserve">  广东省怀集县岗坪镇维安村委会水活队135号</t>
  </si>
  <si>
    <t>1997/02/21</t>
  </si>
  <si>
    <t>412726199702212843</t>
  </si>
  <si>
    <t>河南省周口市郸城县白马镇老牙村100号</t>
  </si>
  <si>
    <t>320483199812022327</t>
  </si>
  <si>
    <t xml:space="preserve">  江苏省常州市武进区雪堰镇望湖怡景5号楼乙单元1703</t>
  </si>
  <si>
    <t>1998/10/06</t>
  </si>
  <si>
    <t>230502199810060528</t>
  </si>
  <si>
    <t xml:space="preserve">  江苏省无锡市梁溪区槐古二村96号602室</t>
  </si>
  <si>
    <t>1998/07/22</t>
  </si>
  <si>
    <t>440785199807220026</t>
  </si>
  <si>
    <t xml:space="preserve">  广东省恩平市恩城镇凤山路三元街27巷9号</t>
  </si>
  <si>
    <t>1999/05/31</t>
  </si>
  <si>
    <t>320981199905317460</t>
  </si>
  <si>
    <t xml:space="preserve">  江苏省东台市海丰镇苏何村七组97号</t>
  </si>
  <si>
    <t>1997/03/09</t>
  </si>
  <si>
    <t>340604199703090629</t>
  </si>
  <si>
    <t xml:space="preserve">  安徽省淮北市相山区庄西路15号5栋1单元402</t>
  </si>
  <si>
    <t>1999/02/19</t>
  </si>
  <si>
    <t>320681199902190023</t>
  </si>
  <si>
    <t xml:space="preserve">  江苏省南京市鼓楼区月光广场4号2408室</t>
  </si>
  <si>
    <t>1998/08/05</t>
  </si>
  <si>
    <t>320324199808050047</t>
  </si>
  <si>
    <t xml:space="preserve">  江苏省南京市雨花台区板桥新城金域东府2单元515室</t>
  </si>
  <si>
    <t>1997/11/16</t>
  </si>
  <si>
    <t>342422199711161443</t>
  </si>
  <si>
    <t xml:space="preserve">  上海市奉贤区西渡文怡花园52幢111梯402室</t>
  </si>
  <si>
    <t>1999/10/18</t>
  </si>
  <si>
    <t>321322199910185843</t>
  </si>
  <si>
    <t xml:space="preserve">  江苏省宿迁市沐阳县豪园小区89栋302</t>
  </si>
  <si>
    <t>1999/07/27</t>
  </si>
  <si>
    <t>610526199907275228</t>
  </si>
  <si>
    <t xml:space="preserve">  陕西省渭南市蒲城县龙阳镇西湾村东组</t>
  </si>
  <si>
    <t>500101199811037909</t>
  </si>
  <si>
    <t xml:space="preserve">  上海市徐汇区漕溪北路336号，</t>
  </si>
  <si>
    <t>1998/01/28</t>
  </si>
  <si>
    <t>440204199801283629</t>
  </si>
  <si>
    <t xml:space="preserve">  广东省韶关市武江区群立街三横巷10号</t>
  </si>
  <si>
    <t>1999/02/16</t>
  </si>
  <si>
    <t>320821199902161104</t>
  </si>
  <si>
    <t xml:space="preserve">  江苏省淮安市淮阴区码头镇太山村二组21号</t>
  </si>
  <si>
    <t>1999/04/20</t>
  </si>
  <si>
    <t>320311199904207321</t>
  </si>
  <si>
    <t xml:space="preserve">  江苏省徐州市云龙区解放路29号6号楼4单元101室</t>
  </si>
  <si>
    <t>1999/12/24</t>
  </si>
  <si>
    <t>321102199912246340</t>
  </si>
  <si>
    <t xml:space="preserve">  江苏省镇江市润州区紫阳花园3幢501室</t>
  </si>
  <si>
    <t>320311199808055225</t>
  </si>
  <si>
    <t xml:space="preserve">  江苏徐州市泉山区煤建南村25号楼404室</t>
  </si>
  <si>
    <t>1997/12/09</t>
  </si>
  <si>
    <t>532722199712091522</t>
  </si>
  <si>
    <t xml:space="preserve">  云南省普洱市宁洱县哈尼族彝族自治县303环卫站一幢402室</t>
  </si>
  <si>
    <t>1999/11/03</t>
  </si>
  <si>
    <t>330522199911036921</t>
  </si>
  <si>
    <t xml:space="preserve">  浙江省湖州市长兴县雉城镇水木花都青溪苑1幢1单元102室</t>
  </si>
  <si>
    <t>1999/07/24</t>
  </si>
  <si>
    <t>320584199907240521</t>
  </si>
  <si>
    <t xml:space="preserve">  江苏省苏州市吴江区盛泽镇黄家溪村南坝211号</t>
  </si>
  <si>
    <t>1999/07/30</t>
  </si>
  <si>
    <t>36220219990730102X</t>
  </si>
  <si>
    <t xml:space="preserve">  云南省普洱市思宁区宁洱大道13号</t>
  </si>
  <si>
    <t>1998/04/08</t>
  </si>
  <si>
    <t>320811199804082522</t>
  </si>
  <si>
    <t xml:space="preserve">  江苏省淮安市清浦区城南乡韩城村十七组8号</t>
  </si>
  <si>
    <t>1999/03/20</t>
  </si>
  <si>
    <t>320321199903207242</t>
  </si>
  <si>
    <t xml:space="preserve">  江苏省徐州市丰县御景园1期20号楼2单元202</t>
  </si>
  <si>
    <t>1998/10/26</t>
  </si>
  <si>
    <t>321202199810260323</t>
  </si>
  <si>
    <t xml:space="preserve">  江苏省泰州市海陵区江洲北路143号</t>
  </si>
  <si>
    <t>321123199906180025</t>
  </si>
  <si>
    <t xml:space="preserve">  江苏省句容高级中学</t>
  </si>
  <si>
    <t>320106199907262025</t>
  </si>
  <si>
    <t xml:space="preserve">  南京市玄武区营苑新寓3幢205室</t>
  </si>
  <si>
    <t>2000/02/25</t>
  </si>
  <si>
    <t>441723200002254226</t>
  </si>
  <si>
    <t xml:space="preserve">  广东省阳江市江城区和平周仔村236号</t>
  </si>
  <si>
    <t>2000/01/16</t>
  </si>
  <si>
    <t>320921200001164229</t>
  </si>
  <si>
    <t xml:space="preserve">  昆山市大德世家33栋504</t>
  </si>
  <si>
    <t>1999/07/20</t>
  </si>
  <si>
    <t>320922199907209025</t>
  </si>
  <si>
    <t xml:space="preserve">  江苏省盐城市滨海县第二实验小学</t>
  </si>
  <si>
    <t>361121199904023311</t>
  </si>
  <si>
    <t xml:space="preserve">  江西省上饶市上饶县旭日街道翰园小区6栋601</t>
  </si>
  <si>
    <t>500231199806266815</t>
  </si>
  <si>
    <t xml:space="preserve">  重庆市垫江县桂溪镇盛世华都D区3栋4单元602</t>
  </si>
  <si>
    <t>1999/05/10</t>
  </si>
  <si>
    <t>441421199905105534</t>
  </si>
  <si>
    <t xml:space="preserve">  广东省深圳市南山区南海大道四达大厦A栋18H</t>
  </si>
  <si>
    <t>1998/04/12</t>
  </si>
  <si>
    <t>445202199804123833</t>
  </si>
  <si>
    <t xml:space="preserve">  广东省揭阳市榕城区玉浦新村F11栋502</t>
  </si>
  <si>
    <t>1999/07/11</t>
  </si>
  <si>
    <t>320123199907110079</t>
  </si>
  <si>
    <t xml:space="preserve">  江苏省南京市六合区延安路76号一单元403室</t>
  </si>
  <si>
    <t>1999/01/22</t>
  </si>
  <si>
    <t>320102199901221614</t>
  </si>
  <si>
    <t xml:space="preserve">  江苏省南京市玄武区富贵山1号5幢西</t>
  </si>
  <si>
    <t>1998/11/04</t>
  </si>
  <si>
    <t>310116199811040410</t>
  </si>
  <si>
    <t xml:space="preserve">  上海市金山区枫泾镇新春苑136号402室</t>
  </si>
  <si>
    <t>2000/02/03</t>
  </si>
  <si>
    <t>320924200002036471</t>
  </si>
  <si>
    <t xml:space="preserve">  江苏省盐城市射阳县特庸镇红旗村五组</t>
  </si>
  <si>
    <t>1999/03/27</t>
  </si>
  <si>
    <t>41132719990327063X</t>
  </si>
  <si>
    <t xml:space="preserve">  广东省佛山市顺德区陈村镇潭州村东基坊通巷横一巷1号</t>
  </si>
  <si>
    <t>2000/01/15</t>
  </si>
  <si>
    <t>44130120000115061X</t>
  </si>
  <si>
    <t xml:space="preserve">  惠州市惠城区江北文昌一路帝景湾帝颐轩G座401</t>
  </si>
  <si>
    <t>1999/01/28</t>
  </si>
  <si>
    <t>320382199901280051</t>
  </si>
  <si>
    <t xml:space="preserve">  江苏省邳州市运河镇毓秀华庭2号楼一单元</t>
  </si>
  <si>
    <t>1998/10/29</t>
  </si>
  <si>
    <t>321283199810292649</t>
  </si>
  <si>
    <t>江苏省泰兴市广陵镇顾周村十五组15号</t>
  </si>
  <si>
    <t>1997/09/30</t>
  </si>
  <si>
    <t>321084199709300021</t>
  </si>
  <si>
    <t>江苏省扬州市高邮市城南小巷32栋202室</t>
  </si>
  <si>
    <t>1997/11/11</t>
  </si>
  <si>
    <t>320282199711118410</t>
  </si>
  <si>
    <t>江苏省宜兴市宜城街道沧浦村木桥3-1号</t>
  </si>
  <si>
    <t>1998/12/29</t>
  </si>
  <si>
    <t>33010219981229061X</t>
  </si>
  <si>
    <t>浙江省杭州市下城区文晖路146号24-2-301室</t>
  </si>
  <si>
    <t>1999/03/05</t>
  </si>
  <si>
    <t>320211199903056044</t>
  </si>
  <si>
    <t>江苏省无锡市梁溪区芦庄小区167号</t>
  </si>
  <si>
    <t>1997/04/08</t>
  </si>
  <si>
    <t>321283199704086446</t>
  </si>
  <si>
    <t>江苏省泰兴市虹桥镇毗芦村同心二组17号</t>
  </si>
  <si>
    <t>320282199907300820</t>
  </si>
  <si>
    <t>江苏省无锡市宜兴市新盛花苑8幢504室</t>
  </si>
  <si>
    <t>320830199904161622</t>
  </si>
  <si>
    <t>江苏省淮安市盱眙县阳光巴黎小区一栋六单元507室</t>
  </si>
  <si>
    <t>321001199901050623</t>
  </si>
  <si>
    <t>江苏省扬州市邗江区兴扬路11-028</t>
  </si>
  <si>
    <t>441621199908037021</t>
  </si>
  <si>
    <t>广东省河源市紫金县临江镇百丈村</t>
  </si>
  <si>
    <t>董苒</t>
  </si>
  <si>
    <t>320802199907033022</t>
  </si>
  <si>
    <t>江苏省淮安市清江浦区亿力未来城23栋1202室</t>
  </si>
  <si>
    <t>321084199910270020</t>
  </si>
  <si>
    <t>江苏省南京市栖霞区文澜路89号</t>
  </si>
  <si>
    <t>330400</t>
  </si>
  <si>
    <t>3304821999013010841</t>
  </si>
  <si>
    <t>浙江省嘉兴市平湖市独山港镇优胜村横港桥1号</t>
  </si>
  <si>
    <t>320923199805098121</t>
  </si>
  <si>
    <t>江苏省盐城市阜宁县观河一号1号楼1单元1501</t>
  </si>
  <si>
    <t>44051319971209452X</t>
  </si>
  <si>
    <t>广东省汕头市潮阳区贵屿镇山前德记祠路北四街6号</t>
  </si>
  <si>
    <t>330183199906293326</t>
  </si>
  <si>
    <t>浙江省杭州市富阳区场口镇洪村</t>
  </si>
  <si>
    <t>320283199902164424</t>
  </si>
  <si>
    <t>江苏省无锡市惠山区前洲街道西塘村孙三55号</t>
  </si>
  <si>
    <t>320684199901010042</t>
  </si>
  <si>
    <t>江苏省南通市海门市富民新村710幢305室</t>
  </si>
  <si>
    <t>320703199902110528</t>
  </si>
  <si>
    <t>江苏省连云港市连云区碱厂生活区18幢3单元502室</t>
  </si>
  <si>
    <t>440181200003027842</t>
  </si>
  <si>
    <t>广东省广州市番禺区市桥西丽南路华侨城7号楼1梯</t>
  </si>
  <si>
    <t>320981199911024728</t>
  </si>
  <si>
    <t>江苏省南通市海安县河滨路118号</t>
  </si>
  <si>
    <t>510122199911090284</t>
  </si>
  <si>
    <t>四川省成都市天府新区华阳华阳大道二段135号</t>
  </si>
  <si>
    <t>321181199908026762</t>
  </si>
  <si>
    <t>江苏省镇江市丹阳市后巷镇刘巷村</t>
  </si>
  <si>
    <t>413026199902053325</t>
  </si>
  <si>
    <t>河南省信阳市固始县平楼村赵岗乡</t>
  </si>
  <si>
    <t xml:space="preserve">450600
</t>
  </si>
  <si>
    <t>450603199812260024</t>
  </si>
  <si>
    <t>广西防城港市防城区 灵秀小区8巷</t>
  </si>
  <si>
    <t>320584199902117129</t>
  </si>
  <si>
    <t>江苏省苏州市吴江区七都镇群幸村</t>
  </si>
  <si>
    <t>320121199902044727</t>
  </si>
  <si>
    <t>江苏省南京市江宁区汤山街道顾家棚7号</t>
  </si>
  <si>
    <t>320121199902082520</t>
  </si>
  <si>
    <t>江苏省南京市江宁区太平花苑</t>
  </si>
  <si>
    <t>4412241998080738225</t>
  </si>
  <si>
    <t>广东省肇庆市怀集县梁村镇苏村居1168号</t>
  </si>
  <si>
    <t xml:space="preserve">340300
</t>
  </si>
  <si>
    <t>34032119990213054X</t>
  </si>
  <si>
    <t>安徽省蚌埠市怀远常坟镇水巷村124号</t>
  </si>
  <si>
    <t>320322199908228225</t>
  </si>
  <si>
    <t>江苏省徐州市沛县康城金色家园16号楼一单元102室</t>
  </si>
  <si>
    <t>321324199712303485</t>
  </si>
  <si>
    <t>江苏省宿迁市泗洪县龙集镇河口村</t>
  </si>
  <si>
    <t>320923199806206024</t>
  </si>
  <si>
    <t>江苏省阜宁县杨集镇荡西村五组11号</t>
  </si>
  <si>
    <t>510183199807230446</t>
  </si>
  <si>
    <t>四川省成都市邛崃市临邛镇金鹅村2组</t>
  </si>
  <si>
    <t>320583199811261620</t>
  </si>
  <si>
    <t>江苏省苏州市昆山区伯爵大地1104</t>
  </si>
  <si>
    <t>320483199903165841</t>
  </si>
  <si>
    <t>江苏省常州市天宁区郑陆镇查家湾唐家村2号</t>
  </si>
  <si>
    <t>440583199907134527</t>
  </si>
  <si>
    <t>广东省汕头市澄海区凤翔街道城南5委8组</t>
  </si>
  <si>
    <t>320481199911285429</t>
  </si>
  <si>
    <t>江苏省南京市玄武区北京东路公教一村10栋201</t>
  </si>
  <si>
    <t>321102199903294922</t>
  </si>
  <si>
    <t>江苏省镇江市京口区王龙24号</t>
  </si>
  <si>
    <t>52022119990101318X</t>
  </si>
  <si>
    <t>贵州省六盘水市水城县顺场乡顺场街上</t>
  </si>
  <si>
    <t>320811199906020525</t>
  </si>
  <si>
    <t>江苏省淮安市清江浦区东城江南1区17幢106室</t>
  </si>
  <si>
    <t>450422199711140021</t>
  </si>
  <si>
    <t>广西壮族自治区梧州市藤县藤州镇登俊路52号</t>
  </si>
  <si>
    <t xml:space="preserve">31011519990106804x </t>
  </si>
  <si>
    <t>上海市浦东新区张江汤臣豪园3期26号201室</t>
  </si>
  <si>
    <t>俞建媛</t>
  </si>
  <si>
    <t>320682199811242306</t>
  </si>
  <si>
    <t>江苏省南通市如皋市白蒲镇桥口村42组23号</t>
  </si>
  <si>
    <t>320281199812162043</t>
  </si>
  <si>
    <t>江苏省无锡市江阴市徐霞客镇红星村寺前村29号</t>
  </si>
  <si>
    <t>320821199801090706</t>
  </si>
  <si>
    <t>江苏省淮安市清江浦区柯山路钱隆御景10号楼2802室</t>
  </si>
  <si>
    <t>440232199905020028</t>
  </si>
  <si>
    <t>广东省云浮市郁南县东坝镇大坪沙坝村32号</t>
  </si>
  <si>
    <t>513426200001042240</t>
  </si>
  <si>
    <t>四川省凉山州会东县城北小区11栋2单元701</t>
  </si>
  <si>
    <t>51018219971128622x</t>
  </si>
  <si>
    <t>四川省成都市彭州市三界镇育才街46号附15号</t>
  </si>
  <si>
    <t>321323199809085545</t>
  </si>
  <si>
    <t>江苏省宿迁市泗阳县庄圩乡农科村庄刘组110号</t>
  </si>
  <si>
    <t>220402199902055614</t>
  </si>
  <si>
    <t>吉林省长春市二道临河街25号</t>
  </si>
  <si>
    <t>320923199901240036</t>
  </si>
  <si>
    <t>江苏省盐城市阜宁县南门街75#2号楼306室</t>
  </si>
  <si>
    <t>李昊瀚</t>
  </si>
  <si>
    <t>330302199905061614</t>
  </si>
  <si>
    <t>浙江省温州市鹿城区滨江街道江滨路万盛锦园E1103</t>
  </si>
  <si>
    <t>321284199810275634</t>
  </si>
  <si>
    <t>江苏省泰州市姜堰区梁徐镇三林村</t>
  </si>
  <si>
    <t>330727199905290053</t>
  </si>
  <si>
    <t>浙江省宁波市江北区宝丽名苑8幢21号501</t>
  </si>
  <si>
    <t>140723199902140032</t>
  </si>
  <si>
    <t>山西省晋中市和顺县听月小区1栋1单元1101</t>
  </si>
  <si>
    <t>331082199904105511</t>
  </si>
  <si>
    <t>浙江省临海市汇溪镇大塘村1-10号</t>
  </si>
  <si>
    <t>321202199711062436</t>
  </si>
  <si>
    <t>江苏省泰州市海陵区九龙镇姚家村16组11－6</t>
  </si>
  <si>
    <t>610114199805050012</t>
  </si>
  <si>
    <t>陕西省西安市雁塔区科技路259号三号楼三单元501室</t>
  </si>
  <si>
    <t>320202199904074512</t>
  </si>
  <si>
    <t>江苏省无锡市锡山区东亭街道华夏春晓2号门1301室</t>
  </si>
  <si>
    <t>430821199902254816</t>
  </si>
  <si>
    <t>贵州黔西南州兴义市莱蒙帝景小区25栋510</t>
  </si>
  <si>
    <t>330302199808262019</t>
  </si>
  <si>
    <t>浙江省温州市学院东路嘉鸿花园</t>
  </si>
  <si>
    <t>330382199811290012</t>
  </si>
  <si>
    <t>浙江省温州市乐清市乐城街道云鲤路40号</t>
  </si>
  <si>
    <t>耿佳沛</t>
  </si>
  <si>
    <t>410102199908070128</t>
  </si>
  <si>
    <t>河南省郑州市中原区启福华都小区</t>
  </si>
  <si>
    <t>441827199812047224</t>
  </si>
  <si>
    <t>广东省清远市清新区禾云镇坝仔村委会大坝头村</t>
  </si>
  <si>
    <t>513122199811140013</t>
  </si>
  <si>
    <t>四川省雅安市名山区陵园路87号</t>
  </si>
  <si>
    <t>320381199904220023</t>
  </si>
  <si>
    <t xml:space="preserve">江苏省徐州市新沂市港头镇雪塘村一组36号
</t>
  </si>
  <si>
    <t>341126199905286226</t>
  </si>
  <si>
    <t>安徽省滁州市凤阳县板桥镇罗刘村</t>
  </si>
  <si>
    <t>650100</t>
  </si>
  <si>
    <t>650104199906284429</t>
  </si>
  <si>
    <t xml:space="preserve">江苏省南京市栖霞区文澜路89号                                  </t>
  </si>
  <si>
    <t xml:space="preserve">340321199810225007
</t>
  </si>
  <si>
    <t>江苏省扬州市邗江区四望亭路锦绣花园15幢105室</t>
  </si>
  <si>
    <t>32128120000126777x</t>
  </si>
  <si>
    <t>江苏省兴化市张郭镇罗磨村西顾巷14号</t>
  </si>
  <si>
    <t>32060219990927155x</t>
  </si>
  <si>
    <t>江苏省南通市港闸区永兴街道节制闸村七组16-1号</t>
  </si>
  <si>
    <t>320111199812111217</t>
  </si>
  <si>
    <t>江苏省南京市浦口区汤庄1号</t>
  </si>
  <si>
    <t xml:space="preserve">610100
</t>
  </si>
  <si>
    <t xml:space="preserve">610122199803082838
</t>
  </si>
  <si>
    <t>陕西省西安市长安区太阳新街36号</t>
  </si>
  <si>
    <t xml:space="preserve">450603199912231511
</t>
  </si>
  <si>
    <t>广西防城港市防城区防邕路31号3栋3单元401室</t>
  </si>
  <si>
    <t>320504199904161252</t>
  </si>
  <si>
    <t>江苏省苏州市姑苏区吴趋坊赛儿巷10号</t>
  </si>
  <si>
    <t>320821199901053136</t>
  </si>
  <si>
    <t>江苏省淮安市淮阴区北京东路御花园c区14栋403</t>
  </si>
  <si>
    <t>321084199811032836</t>
  </si>
  <si>
    <t>江苏省高邮市卸甲镇恒丰村十组40号</t>
  </si>
  <si>
    <t>320584199811181512</t>
  </si>
  <si>
    <t>江苏省苏州市吴江区震泽镇石瑾二村32-202</t>
  </si>
  <si>
    <t>320724199905210016</t>
  </si>
  <si>
    <t>江苏省连云港市灌南县新安镇镇中西路40-123号</t>
  </si>
  <si>
    <t>330482199810310312</t>
  </si>
  <si>
    <t>浙江省平湖市乍浦镇南司弄15号1幢1单元501室</t>
  </si>
  <si>
    <t>441200</t>
  </si>
  <si>
    <t>441283199806014977</t>
  </si>
  <si>
    <t>广东省高要市金渡镇金渡村委会</t>
  </si>
  <si>
    <t>320684199711136429</t>
  </si>
  <si>
    <t>江苏省海门市余东镇旭宏村三十三组9号</t>
  </si>
  <si>
    <t>513800</t>
  </si>
  <si>
    <t>51382219980115484X</t>
  </si>
  <si>
    <t>四川省眉山市仁寿县禄加镇石坪村五组</t>
  </si>
  <si>
    <t>450300</t>
  </si>
  <si>
    <t>45030419990927158x</t>
  </si>
  <si>
    <t xml:space="preserve">广西省桂林市象山区环城南二路16号 </t>
  </si>
  <si>
    <t>500300</t>
  </si>
  <si>
    <t>500381199711115722</t>
  </si>
  <si>
    <t>四川省重庆市江津区四面山镇马家坪村2组121号</t>
  </si>
  <si>
    <t>450800</t>
  </si>
  <si>
    <t>450881199901255622</t>
  </si>
  <si>
    <t>广西省桂平市大洋镇双罗村社大岭屯3-1号</t>
  </si>
  <si>
    <t>522100</t>
  </si>
  <si>
    <t>522132199709086720</t>
  </si>
  <si>
    <t>贵州省习水县仙源镇羊久村  楚家组</t>
  </si>
  <si>
    <t>321284199907035610</t>
  </si>
  <si>
    <t>广东省雷州市梁徐镇梁徐村八组5号</t>
  </si>
  <si>
    <t>320681199908027219</t>
  </si>
  <si>
    <t>江苏省南通市启东市汇龙镇长江新村33号楼401室</t>
  </si>
  <si>
    <t>320581199902103318</t>
  </si>
  <si>
    <t>江苏省常熟市碧溪新区横塘村（5）眉梁泾25号</t>
  </si>
  <si>
    <t>513825199811043819</t>
  </si>
  <si>
    <t>四川省眉山市丹棱县张场镇金峡村6组</t>
  </si>
  <si>
    <t>321084199908120015</t>
  </si>
  <si>
    <t>430600</t>
  </si>
  <si>
    <t>430602199809163512</t>
  </si>
  <si>
    <t>广东省深圳市南山区高新南四道10号</t>
  </si>
  <si>
    <t>320830199908130030</t>
  </si>
  <si>
    <t>321284199804262415</t>
  </si>
  <si>
    <t>张店镇严唐村二组37号</t>
  </si>
  <si>
    <t>320682199901284235</t>
  </si>
  <si>
    <t>江苏省南通市如皋市石庄镇闸口居六组55号</t>
  </si>
  <si>
    <t>440800</t>
  </si>
  <si>
    <t>440882199810250652</t>
  </si>
  <si>
    <t>广东省雷州市附城镇南山村2号102房</t>
  </si>
  <si>
    <t>440881199806160412</t>
  </si>
  <si>
    <t>广东省湛江市廉江市建设一路四巷14号</t>
  </si>
  <si>
    <t>440202199908120915</t>
  </si>
  <si>
    <t>广东省惠州市惠城区龙丰街道三环南路一号</t>
  </si>
  <si>
    <t>330821199809160213</t>
  </si>
  <si>
    <t xml:space="preserve">浙江省衢州市衢江区峡川镇峡口村83号    </t>
  </si>
  <si>
    <t>320282199903170213</t>
  </si>
  <si>
    <t xml:space="preserve">江苏省宜兴市宜城街道阳泉新村4号308室  </t>
  </si>
  <si>
    <t>320211199902182225</t>
  </si>
  <si>
    <t>江苏省无锡市崇安区广益街道丁村前胡村34号</t>
  </si>
  <si>
    <t>321322200002054819</t>
  </si>
  <si>
    <t>江苏省宿迁市沭阳县颜集镇丁圩村火庙组1号</t>
  </si>
  <si>
    <t>140200</t>
  </si>
  <si>
    <t>140223199712080019</t>
  </si>
  <si>
    <t>江苏省南京市栖霞区 文澜路89号</t>
  </si>
  <si>
    <t>320922199911302724</t>
  </si>
  <si>
    <t>江苏省盐城市滨海县正红镇獐沟居委会李庄组181号</t>
  </si>
  <si>
    <t>320322199906300019</t>
  </si>
  <si>
    <t>江苏省徐州市沛县龙固镇冠宇纺织有限公司</t>
  </si>
  <si>
    <t>330324199811083714</t>
  </si>
  <si>
    <t>浙江省温州市永嘉县沙头镇东光村81-120</t>
  </si>
  <si>
    <t>445200</t>
  </si>
  <si>
    <t>445281199802216791</t>
  </si>
  <si>
    <t>广东省普宁市流沙西街道赵厝寮村老爷宫前6巷34号</t>
  </si>
  <si>
    <t>320981199811131972</t>
  </si>
  <si>
    <t xml:space="preserve">江苏省南京市玄武区马标26号
</t>
  </si>
  <si>
    <t>张宇涵</t>
  </si>
  <si>
    <t>520100</t>
  </si>
  <si>
    <t>520102199904308114</t>
  </si>
  <si>
    <t>320211199812114130</t>
  </si>
  <si>
    <t>江苏省无锡市滨湖区蠡溪路泰康新村</t>
  </si>
  <si>
    <t>1999/06/29</t>
  </si>
  <si>
    <t>321023199906290026</t>
  </si>
  <si>
    <t>330481199810180013</t>
  </si>
  <si>
    <t xml:space="preserve">   浙江省海宁市硖石街道景云桥小区8幢4单元407</t>
  </si>
  <si>
    <t>1999/01/18</t>
  </si>
  <si>
    <t>320113199901180452</t>
  </si>
  <si>
    <t xml:space="preserve"> 江苏省南京市栖霞区西岗果牧场四队904号 </t>
  </si>
  <si>
    <t>321088199903293393</t>
  </si>
  <si>
    <t>江苏省扬州市江都区宜陵镇小湖村东沟组34号</t>
  </si>
  <si>
    <t>320302199903275019</t>
  </si>
  <si>
    <t>江苏省徐州市云龙湖风景区碧水湾小区C38号楼1单元102</t>
  </si>
  <si>
    <t>1999/09/22</t>
  </si>
  <si>
    <t>320623199909223015</t>
  </si>
  <si>
    <t>江苏省如东县掘港镇范堤南路16号1号楼一单元302室</t>
  </si>
  <si>
    <t>1998/08/23</t>
  </si>
  <si>
    <t>320882199808235237</t>
  </si>
  <si>
    <t>江苏省淮安市经济开发区徐杨乡高张村七组54号</t>
  </si>
  <si>
    <t>1997/09/11</t>
  </si>
  <si>
    <t>210311199709110019</t>
  </si>
  <si>
    <t>1999/08/13</t>
  </si>
  <si>
    <t>320683199908139627</t>
  </si>
  <si>
    <t>江苏省南通市开发区南通农场三孔桥社区印染小区15-4号</t>
  </si>
  <si>
    <t>1997/12/05</t>
  </si>
  <si>
    <t>410522199712052224</t>
  </si>
  <si>
    <t>河南省林州市北关利达街66号</t>
  </si>
  <si>
    <t>2000/06/28</t>
  </si>
  <si>
    <t>320381200006280046</t>
  </si>
  <si>
    <t>江苏省新沂市新安镇新苑小区4号楼5单元402室</t>
  </si>
  <si>
    <t>32082619990510182X</t>
  </si>
  <si>
    <t>江苏省淮安市涟水县北集办事处严港村中王组49号</t>
  </si>
  <si>
    <t>1996/11/12</t>
  </si>
  <si>
    <t>320621199611123318</t>
  </si>
  <si>
    <t>江苏省海安县城东镇葛家桥村二十一组79号</t>
  </si>
  <si>
    <t>1998/01/10</t>
  </si>
  <si>
    <t>320621199801105719</t>
  </si>
  <si>
    <t>江苏省南通市海安县海安镇光华村十组27号</t>
  </si>
  <si>
    <t>321181199810065974</t>
  </si>
  <si>
    <t xml:space="preserve">江苏省丹阳市访仙镇访东村沟湾里32号  </t>
  </si>
  <si>
    <t>1999/09/20</t>
  </si>
  <si>
    <t>140521199909204816</t>
  </si>
  <si>
    <t>山西省晋城市沁水县嘉峰镇嘉峰村花园小区13号</t>
  </si>
  <si>
    <t>1999/04/29</t>
  </si>
  <si>
    <t>330226199904290015</t>
  </si>
  <si>
    <t>广西省桂林市秀峰区阳江路21号4栋2单元302室</t>
  </si>
  <si>
    <t>320902199911263037</t>
  </si>
  <si>
    <t>1999/05/08</t>
  </si>
  <si>
    <t>342423199905088375</t>
  </si>
  <si>
    <t>安徽省霍邱县临淮岗乡莫店村东三组</t>
  </si>
  <si>
    <t>1997/11/03</t>
  </si>
  <si>
    <t>32132319971103757X</t>
  </si>
  <si>
    <t>1998/12/26</t>
  </si>
  <si>
    <t>330522199812264726</t>
  </si>
  <si>
    <t>浙江省长兴县槐坎乡十月村青东村38号</t>
  </si>
  <si>
    <t>1999/04/25</t>
  </si>
  <si>
    <t>330683199904253248</t>
  </si>
  <si>
    <t>浙江省嵊州剡湖街道南津路14幢1单元302室</t>
  </si>
  <si>
    <t>320302199909135025</t>
  </si>
  <si>
    <t>江苏省徐州市鼓楼区祥和小区13号楼三单元303室</t>
  </si>
  <si>
    <t>1999/02/22</t>
  </si>
  <si>
    <t>230184199902220042</t>
  </si>
  <si>
    <t>黑龙江省哈尔滨市 五常市五常镇尽朝晖街一委二组</t>
  </si>
  <si>
    <t>330682199902083023</t>
  </si>
  <si>
    <t>浙江省上虞市沥海镇华东村周家堰42号</t>
  </si>
  <si>
    <t>510112199901180021</t>
  </si>
  <si>
    <t>四川省成都市龙泉驿区广场路21号</t>
  </si>
  <si>
    <t>52252219990209422X</t>
  </si>
  <si>
    <t>贵州黔南布依族苗族自治州中坪镇居委会</t>
  </si>
  <si>
    <t>1999/06/11</t>
  </si>
  <si>
    <t>321023199906112027</t>
  </si>
  <si>
    <t>江苏省宝应县柳堡镇寿林村崔东组23号</t>
  </si>
  <si>
    <t>1999/04/27</t>
  </si>
  <si>
    <t>330902199904270011</t>
  </si>
  <si>
    <t xml:space="preserve">浙江省舟山市定海区昌国街道北园新村15幢37号301室 </t>
  </si>
  <si>
    <t>陈淦</t>
  </si>
  <si>
    <t>2000/05/05</t>
  </si>
  <si>
    <t>341225200005056358</t>
  </si>
  <si>
    <t>安徽省阜南县段郢乡财神村</t>
  </si>
  <si>
    <t>1998/09/25</t>
  </si>
  <si>
    <t>310108199809252019</t>
  </si>
  <si>
    <t>上海市虹口区巴林路61弄18号</t>
  </si>
  <si>
    <t>320323199903057718</t>
  </si>
  <si>
    <t>江苏省徐州市铜山区张集镇</t>
  </si>
  <si>
    <t>32021119990324001X</t>
  </si>
  <si>
    <t>江苏省无锡市滨湖区溪北新村83-3</t>
  </si>
  <si>
    <t>2000/02/15</t>
  </si>
  <si>
    <t>320321200002150838</t>
  </si>
  <si>
    <t>江苏省徐州市丰县在水一方1号楼二单元401</t>
  </si>
  <si>
    <t>1998/09/24</t>
  </si>
  <si>
    <t>511126199809247018</t>
  </si>
  <si>
    <t>四川省夹江县歇马乡联合村3组</t>
  </si>
  <si>
    <t>330302199812311610</t>
  </si>
  <si>
    <t>1998/06/24</t>
  </si>
  <si>
    <t>321281199806240333</t>
  </si>
  <si>
    <t>江苏省兴化市昭阳西村27幢105室</t>
  </si>
  <si>
    <t>1998/09/22</t>
  </si>
  <si>
    <t>320125199809221739</t>
  </si>
  <si>
    <t>江苏省南京市高淳区淳溪镇圣地苑二幢-单元502室</t>
  </si>
  <si>
    <t>1997/10/20</t>
  </si>
  <si>
    <t>32132119971020701X</t>
  </si>
  <si>
    <t>江苏省宿迁市经济开发区南蔡乡苏圩村唐王组12号</t>
  </si>
  <si>
    <t>1999/01/14</t>
  </si>
  <si>
    <t>320482199901140118</t>
  </si>
  <si>
    <t>江苏省金坛市金城镇白龙荡村委龙荡村43号</t>
  </si>
  <si>
    <t>1996/09/10</t>
  </si>
  <si>
    <t>511321199609103000</t>
  </si>
  <si>
    <t>四川省南部县窑场乡龙楼庙村1组22号</t>
  </si>
  <si>
    <t>徐家丰</t>
  </si>
  <si>
    <t>33100219971026204x</t>
  </si>
  <si>
    <t>浙江省台州市椒江区前所街道东路新民村</t>
  </si>
  <si>
    <t>程沈雨</t>
  </si>
  <si>
    <t>1997/07/24</t>
  </si>
  <si>
    <t>330482199707240010</t>
  </si>
  <si>
    <t>浙江省嘉兴市平湖市当湖街道星洲城市花园1-2-901</t>
  </si>
  <si>
    <t>1998/11/14</t>
  </si>
  <si>
    <t xml:space="preserve">  四川省雅安市名山区陵园路87号</t>
  </si>
  <si>
    <t>高文静</t>
  </si>
  <si>
    <t>1999/08/11</t>
  </si>
  <si>
    <t>440782199908116544</t>
  </si>
  <si>
    <t xml:space="preserve">  广东省江门市蓬江区荷塘镇霞村隔山坊下十三巷2号</t>
  </si>
  <si>
    <t>1999/08/07</t>
  </si>
  <si>
    <t xml:space="preserve">  河南省郑州市高新区翠竹街郑州外国语新枫杨学校教务处</t>
  </si>
  <si>
    <t>1998/12/04</t>
  </si>
  <si>
    <t xml:space="preserve">  广东省清远市清城区清远大道西8号清远盛兴中英文学校</t>
  </si>
  <si>
    <t>法学2班</t>
  </si>
  <si>
    <t>罗晨曦</t>
  </si>
  <si>
    <t>510131199711182324</t>
  </si>
  <si>
    <t>四川省成都市蒲江县朝阳大道303</t>
  </si>
  <si>
    <t>缪球菲</t>
  </si>
  <si>
    <t>320581199811010028</t>
  </si>
  <si>
    <t>江苏省苏州市常熟市李家桥90号</t>
  </si>
  <si>
    <t>任颖霞</t>
  </si>
  <si>
    <t>440784199812020620</t>
  </si>
  <si>
    <t>广东省江门市鹤山市雅瑶镇石湖下西村</t>
  </si>
  <si>
    <t>张璐瑶</t>
  </si>
  <si>
    <t>220623199809301326</t>
  </si>
  <si>
    <t>吉林省白山市八道江区南平小区</t>
  </si>
  <si>
    <t>张溱</t>
  </si>
  <si>
    <t>513101199907200525</t>
  </si>
  <si>
    <t>四川省雅安市雨城区上坝路126号2幢7号</t>
  </si>
  <si>
    <t>高喆俊</t>
  </si>
  <si>
    <t>420621199906179216</t>
  </si>
  <si>
    <t>广东省深圳市罗湖区红岗路吓围新村43号</t>
  </si>
  <si>
    <t>年级</t>
  </si>
  <si>
    <t>班级班号</t>
  </si>
  <si>
    <t>项目名称</t>
  </si>
  <si>
    <t>测试老师</t>
  </si>
  <si>
    <t>测试时间</t>
  </si>
  <si>
    <t>测试地点</t>
  </si>
  <si>
    <t>测试器材</t>
  </si>
  <si>
    <r>
      <rPr>
        <b/>
        <sz val="11"/>
        <rFont val="宋体"/>
        <charset val="134"/>
      </rPr>
      <t>测试方式</t>
    </r>
    <r>
      <rPr>
        <b/>
        <sz val="11"/>
        <rFont val="Arial"/>
        <charset val="134"/>
      </rPr>
      <t>(</t>
    </r>
    <r>
      <rPr>
        <b/>
        <sz val="11"/>
        <rFont val="宋体"/>
        <charset val="134"/>
      </rPr>
      <t>手工</t>
    </r>
    <r>
      <rPr>
        <b/>
        <sz val="11"/>
        <rFont val="Arial"/>
        <charset val="134"/>
      </rPr>
      <t>/</t>
    </r>
    <r>
      <rPr>
        <b/>
        <sz val="11"/>
        <rFont val="宋体"/>
        <charset val="134"/>
      </rPr>
      <t>仪器</t>
    </r>
    <r>
      <rPr>
        <b/>
        <sz val="11"/>
        <rFont val="Arial"/>
        <charset val="134"/>
      </rPr>
      <t>)</t>
    </r>
  </si>
  <si>
    <t>大二</t>
  </si>
  <si>
    <t>50米</t>
  </si>
  <si>
    <t>谢慧慧</t>
  </si>
  <si>
    <t>10.13.8:00-10:00</t>
  </si>
  <si>
    <t>田径操场</t>
  </si>
  <si>
    <t>秒表</t>
  </si>
  <si>
    <t>手工</t>
  </si>
  <si>
    <t>卷尺</t>
  </si>
  <si>
    <t>引体向上/仰卧起坐</t>
  </si>
  <si>
    <t>坐垫、单杠</t>
  </si>
  <si>
    <t>身高/体重</t>
  </si>
  <si>
    <t>图书馆</t>
  </si>
  <si>
    <t>身高体重测试仪</t>
  </si>
  <si>
    <t>仪器</t>
  </si>
  <si>
    <t>坐位体前屈测试仪</t>
  </si>
  <si>
    <t>肺活量测试仪</t>
  </si>
  <si>
    <t>800/1000米</t>
  </si>
  <si>
    <t>10.27.8:00-12:00</t>
  </si>
  <si>
    <t>10.13.14:00-16:00</t>
  </si>
  <si>
    <t>公共事业管理</t>
  </si>
  <si>
    <t>10.14.8:00-10:00</t>
  </si>
  <si>
    <t>10.27.14:00-16:00</t>
  </si>
  <si>
    <t>10.14.14:00-16:00</t>
  </si>
</sst>
</file>

<file path=xl/styles.xml><?xml version="1.0" encoding="utf-8"?>
<styleSheet xmlns="http://schemas.openxmlformats.org/spreadsheetml/2006/main">
  <numFmts count="13">
    <numFmt numFmtId="41" formatCode="_ * #,##0_ ;_ * \-#,##0_ ;_ * &quot;-&quot;_ ;_ @_ "/>
    <numFmt numFmtId="43" formatCode="_ * #,##0.00_ ;_ * \-#,##0.00_ ;_ * &quot;-&quot;??_ ;_ @_ "/>
    <numFmt numFmtId="44" formatCode="_ &quot;￥&quot;* #,##0.00_ ;_ &quot;￥&quot;* \-#,##0.00_ ;_ &quot;￥&quot;* &quot;-&quot;??_ ;_ @_ "/>
    <numFmt numFmtId="176" formatCode="yyyy/m/d;@"/>
    <numFmt numFmtId="42" formatCode="_ &quot;￥&quot;* #,##0_ ;_ &quot;￥&quot;* \-#,##0_ ;_ &quot;￥&quot;* &quot;-&quot;_ ;_ @_ "/>
    <numFmt numFmtId="177" formatCode="0;[Red]0"/>
    <numFmt numFmtId="178" formatCode="[$-409]dd/mmm/yy;@"/>
    <numFmt numFmtId="179" formatCode="0_ "/>
    <numFmt numFmtId="180" formatCode="yyyy/mm/d"/>
    <numFmt numFmtId="181" formatCode="0.000"/>
    <numFmt numFmtId="182" formatCode="0.00_);[Red]\(0.00\)"/>
    <numFmt numFmtId="183" formatCode="0.0_ "/>
    <numFmt numFmtId="184" formatCode="0.00_ "/>
  </numFmts>
  <fonts count="44">
    <font>
      <sz val="12"/>
      <color theme="1"/>
      <name val="宋体"/>
      <charset val="134"/>
      <scheme val="minor"/>
    </font>
    <font>
      <sz val="12"/>
      <name val="宋体"/>
      <charset val="134"/>
    </font>
    <font>
      <b/>
      <sz val="11"/>
      <name val="宋体"/>
      <charset val="134"/>
    </font>
    <font>
      <b/>
      <sz val="11"/>
      <name val="宋体"/>
      <charset val="134"/>
      <scheme val="minor"/>
    </font>
    <font>
      <b/>
      <sz val="12"/>
      <name val="宋体"/>
      <charset val="134"/>
      <scheme val="minor"/>
    </font>
    <font>
      <b/>
      <sz val="12"/>
      <name val="宋体"/>
      <charset val="134"/>
    </font>
    <font>
      <sz val="11"/>
      <name val="宋体"/>
      <charset val="134"/>
      <scheme val="minor"/>
    </font>
    <font>
      <b/>
      <sz val="11"/>
      <color rgb="FFFF0000"/>
      <name val="宋体"/>
      <charset val="134"/>
    </font>
    <font>
      <sz val="11"/>
      <color rgb="FFFF0000"/>
      <name val="宋体"/>
      <charset val="134"/>
      <scheme val="minor"/>
    </font>
    <font>
      <sz val="12"/>
      <color rgb="FFFF0000"/>
      <name val="宋体"/>
      <charset val="134"/>
      <scheme val="minor"/>
    </font>
    <font>
      <b/>
      <sz val="12"/>
      <color rgb="FFFF0000"/>
      <name val="宋体"/>
      <charset val="134"/>
      <scheme val="minor"/>
    </font>
    <font>
      <b/>
      <sz val="11"/>
      <color rgb="FFFF0000"/>
      <name val="宋体"/>
      <charset val="134"/>
      <scheme val="minor"/>
    </font>
    <font>
      <b/>
      <sz val="12"/>
      <color rgb="FFFF0000"/>
      <name val="宋体"/>
      <charset val="134"/>
    </font>
    <font>
      <b/>
      <sz val="12"/>
      <color rgb="FFFF0000"/>
      <name val="Arial"/>
      <charset val="0"/>
    </font>
    <font>
      <b/>
      <sz val="12"/>
      <color rgb="FFFF0000"/>
      <name val="宋体"/>
      <charset val="0"/>
    </font>
    <font>
      <sz val="10"/>
      <color theme="1"/>
      <name val="Arial"/>
      <charset val="134"/>
    </font>
    <font>
      <sz val="10"/>
      <name val="Arial"/>
      <charset val="134"/>
    </font>
    <font>
      <sz val="12"/>
      <color theme="1"/>
      <name val="宋体"/>
      <charset val="134"/>
    </font>
    <font>
      <sz val="12"/>
      <color indexed="8"/>
      <name val="宋体"/>
      <charset val="134"/>
    </font>
    <font>
      <sz val="10"/>
      <color indexed="8"/>
      <name val="Arial"/>
      <charset val="134"/>
    </font>
    <font>
      <sz val="12"/>
      <color rgb="FF000000"/>
      <name val="宋体"/>
      <charset val="134"/>
    </font>
    <font>
      <sz val="12"/>
      <name val="宋体"/>
      <charset val="0"/>
    </font>
    <font>
      <sz val="10"/>
      <name val="宋体"/>
      <charset val="134"/>
    </font>
    <font>
      <sz val="11"/>
      <color theme="0"/>
      <name val="宋体"/>
      <charset val="0"/>
      <scheme val="minor"/>
    </font>
    <font>
      <sz val="11"/>
      <color theme="1"/>
      <name val="宋体"/>
      <charset val="134"/>
      <scheme val="minor"/>
    </font>
    <font>
      <sz val="11"/>
      <color theme="1"/>
      <name val="宋体"/>
      <charset val="0"/>
      <scheme val="minor"/>
    </font>
    <font>
      <sz val="11"/>
      <color rgb="FFFF0000"/>
      <name val="宋体"/>
      <charset val="0"/>
      <scheme val="minor"/>
    </font>
    <font>
      <b/>
      <sz val="18"/>
      <color theme="3"/>
      <name val="宋体"/>
      <charset val="134"/>
      <scheme val="minor"/>
    </font>
    <font>
      <sz val="11"/>
      <color rgb="FF3F3F76"/>
      <name val="宋体"/>
      <charset val="0"/>
      <scheme val="minor"/>
    </font>
    <font>
      <sz val="11"/>
      <color rgb="FF9C0006"/>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b/>
      <sz val="11"/>
      <color rgb="FF3F3F3F"/>
      <name val="宋体"/>
      <charset val="0"/>
      <scheme val="minor"/>
    </font>
    <font>
      <i/>
      <sz val="11"/>
      <color rgb="FF7F7F7F"/>
      <name val="宋体"/>
      <charset val="0"/>
      <scheme val="minor"/>
    </font>
    <font>
      <b/>
      <sz val="15"/>
      <color theme="3"/>
      <name val="宋体"/>
      <charset val="134"/>
      <scheme val="minor"/>
    </font>
    <font>
      <b/>
      <sz val="13"/>
      <color theme="3"/>
      <name val="宋体"/>
      <charset val="134"/>
      <scheme val="minor"/>
    </font>
    <font>
      <sz val="11"/>
      <color rgb="FFFA7D00"/>
      <name val="宋体"/>
      <charset val="0"/>
      <scheme val="minor"/>
    </font>
    <font>
      <b/>
      <sz val="11"/>
      <color rgb="FFFFFFFF"/>
      <name val="宋体"/>
      <charset val="0"/>
      <scheme val="minor"/>
    </font>
    <font>
      <b/>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11"/>
      <name val="Arial"/>
      <charset val="134"/>
    </font>
  </fonts>
  <fills count="3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9"/>
        <bgColor indexed="64"/>
      </patternFill>
    </fill>
    <fill>
      <patternFill patternType="solid">
        <fgColor theme="6"/>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8"/>
        <bgColor indexed="64"/>
      </patternFill>
    </fill>
    <fill>
      <patternFill patternType="solid">
        <fgColor theme="7"/>
        <bgColor indexed="64"/>
      </patternFill>
    </fill>
    <fill>
      <patternFill patternType="solid">
        <fgColor theme="5"/>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rgb="FFFFFFCC"/>
        <bgColor indexed="64"/>
      </patternFill>
    </fill>
    <fill>
      <patternFill patternType="solid">
        <fgColor theme="6" tint="0.799981688894314"/>
        <bgColor indexed="64"/>
      </patternFill>
    </fill>
    <fill>
      <patternFill patternType="solid">
        <fgColor rgb="FFFFCC99"/>
        <bgColor indexed="64"/>
      </patternFill>
    </fill>
    <fill>
      <patternFill patternType="solid">
        <fgColor rgb="FFFFC7CE"/>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double">
        <color rgb="FFFF800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52">
    <xf numFmtId="0" fontId="0" fillId="0" borderId="0"/>
    <xf numFmtId="42" fontId="24" fillId="0" borderId="0" applyFont="0" applyFill="0" applyBorder="0" applyAlignment="0" applyProtection="0">
      <alignment vertical="center"/>
    </xf>
    <xf numFmtId="0" fontId="25" fillId="19" borderId="0" applyNumberFormat="0" applyBorder="0" applyAlignment="0" applyProtection="0">
      <alignment vertical="center"/>
    </xf>
    <xf numFmtId="0" fontId="28" fillId="20" borderId="5" applyNumberFormat="0" applyAlignment="0" applyProtection="0">
      <alignment vertical="center"/>
    </xf>
    <xf numFmtId="44" fontId="24" fillId="0" borderId="0" applyFont="0" applyFill="0" applyBorder="0" applyAlignment="0" applyProtection="0">
      <alignment vertical="center"/>
    </xf>
    <xf numFmtId="41" fontId="24" fillId="0" borderId="0" applyFont="0" applyFill="0" applyBorder="0" applyAlignment="0" applyProtection="0">
      <alignment vertical="center"/>
    </xf>
    <xf numFmtId="0" fontId="25" fillId="9" borderId="0" applyNumberFormat="0" applyBorder="0" applyAlignment="0" applyProtection="0">
      <alignment vertical="center"/>
    </xf>
    <xf numFmtId="0" fontId="29" fillId="21" borderId="0" applyNumberFormat="0" applyBorder="0" applyAlignment="0" applyProtection="0">
      <alignment vertical="center"/>
    </xf>
    <xf numFmtId="43" fontId="24" fillId="0" borderId="0" applyFont="0" applyFill="0" applyBorder="0" applyAlignment="0" applyProtection="0">
      <alignment vertical="center"/>
    </xf>
    <xf numFmtId="0" fontId="23" fillId="25" borderId="0" applyNumberFormat="0" applyBorder="0" applyAlignment="0" applyProtection="0">
      <alignment vertical="center"/>
    </xf>
    <xf numFmtId="0" fontId="30" fillId="0" borderId="0" applyNumberFormat="0" applyFill="0" applyBorder="0" applyAlignment="0" applyProtection="0">
      <alignment vertical="center"/>
    </xf>
    <xf numFmtId="9" fontId="24" fillId="0" borderId="0" applyFont="0" applyFill="0" applyBorder="0" applyAlignment="0" applyProtection="0">
      <alignment vertical="center"/>
    </xf>
    <xf numFmtId="0" fontId="31" fillId="0" borderId="0" applyNumberFormat="0" applyFill="0" applyBorder="0" applyAlignment="0" applyProtection="0">
      <alignment vertical="center"/>
    </xf>
    <xf numFmtId="0" fontId="24" fillId="18" borderId="4" applyNumberFormat="0" applyFont="0" applyAlignment="0" applyProtection="0">
      <alignment vertical="center"/>
    </xf>
    <xf numFmtId="0" fontId="23" fillId="29" borderId="0" applyNumberFormat="0" applyBorder="0" applyAlignment="0" applyProtection="0">
      <alignment vertical="center"/>
    </xf>
    <xf numFmtId="0" fontId="32"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7" applyNumberFormat="0" applyFill="0" applyAlignment="0" applyProtection="0">
      <alignment vertical="center"/>
    </xf>
    <xf numFmtId="0" fontId="36" fillId="0" borderId="7" applyNumberFormat="0" applyFill="0" applyAlignment="0" applyProtection="0">
      <alignment vertical="center"/>
    </xf>
    <xf numFmtId="0" fontId="23" fillId="24" borderId="0" applyNumberFormat="0" applyBorder="0" applyAlignment="0" applyProtection="0">
      <alignment vertical="center"/>
    </xf>
    <xf numFmtId="0" fontId="32" fillId="0" borderId="9" applyNumberFormat="0" applyFill="0" applyAlignment="0" applyProtection="0">
      <alignment vertical="center"/>
    </xf>
    <xf numFmtId="0" fontId="23" fillId="23" borderId="0" applyNumberFormat="0" applyBorder="0" applyAlignment="0" applyProtection="0">
      <alignment vertical="center"/>
    </xf>
    <xf numFmtId="0" fontId="33" fillId="30" borderId="6" applyNumberFormat="0" applyAlignment="0" applyProtection="0">
      <alignment vertical="center"/>
    </xf>
    <xf numFmtId="0" fontId="39" fillId="30" borderId="5" applyNumberFormat="0" applyAlignment="0" applyProtection="0">
      <alignment vertical="center"/>
    </xf>
    <xf numFmtId="0" fontId="38" fillId="31" borderId="10" applyNumberFormat="0" applyAlignment="0" applyProtection="0">
      <alignment vertical="center"/>
    </xf>
    <xf numFmtId="0" fontId="25" fillId="17" borderId="0" applyNumberFormat="0" applyBorder="0" applyAlignment="0" applyProtection="0">
      <alignment vertical="center"/>
    </xf>
    <xf numFmtId="0" fontId="23" fillId="12" borderId="0" applyNumberFormat="0" applyBorder="0" applyAlignment="0" applyProtection="0">
      <alignment vertical="center"/>
    </xf>
    <xf numFmtId="0" fontId="37" fillId="0" borderId="8" applyNumberFormat="0" applyFill="0" applyAlignment="0" applyProtection="0">
      <alignment vertical="center"/>
    </xf>
    <xf numFmtId="0" fontId="40" fillId="0" borderId="11" applyNumberFormat="0" applyFill="0" applyAlignment="0" applyProtection="0">
      <alignment vertical="center"/>
    </xf>
    <xf numFmtId="0" fontId="41" fillId="32" borderId="0" applyNumberFormat="0" applyBorder="0" applyAlignment="0" applyProtection="0">
      <alignment vertical="center"/>
    </xf>
    <xf numFmtId="0" fontId="42" fillId="33" borderId="0" applyNumberFormat="0" applyBorder="0" applyAlignment="0" applyProtection="0">
      <alignment vertical="center"/>
    </xf>
    <xf numFmtId="0" fontId="25" fillId="27" borderId="0" applyNumberFormat="0" applyBorder="0" applyAlignment="0" applyProtection="0">
      <alignment vertical="center"/>
    </xf>
    <xf numFmtId="0" fontId="23" fillId="34" borderId="0" applyNumberFormat="0" applyBorder="0" applyAlignment="0" applyProtection="0">
      <alignment vertical="center"/>
    </xf>
    <xf numFmtId="0" fontId="25" fillId="16" borderId="0" applyNumberFormat="0" applyBorder="0" applyAlignment="0" applyProtection="0">
      <alignment vertical="center"/>
    </xf>
    <xf numFmtId="0" fontId="25" fillId="8" borderId="0" applyNumberFormat="0" applyBorder="0" applyAlignment="0" applyProtection="0">
      <alignment vertical="center"/>
    </xf>
    <xf numFmtId="0" fontId="25" fillId="26" borderId="0" applyNumberFormat="0" applyBorder="0" applyAlignment="0" applyProtection="0">
      <alignment vertical="center"/>
    </xf>
    <xf numFmtId="0" fontId="25" fillId="14" borderId="0" applyNumberFormat="0" applyBorder="0" applyAlignment="0" applyProtection="0">
      <alignment vertical="center"/>
    </xf>
    <xf numFmtId="0" fontId="23" fillId="5" borderId="0" applyNumberFormat="0" applyBorder="0" applyAlignment="0" applyProtection="0">
      <alignment vertical="center"/>
    </xf>
    <xf numFmtId="0" fontId="23" fillId="11" borderId="0" applyNumberFormat="0" applyBorder="0" applyAlignment="0" applyProtection="0">
      <alignment vertical="center"/>
    </xf>
    <xf numFmtId="0" fontId="25" fillId="15" borderId="0" applyNumberFormat="0" applyBorder="0" applyAlignment="0" applyProtection="0">
      <alignment vertical="center"/>
    </xf>
    <xf numFmtId="0" fontId="25" fillId="7" borderId="0" applyNumberFormat="0" applyBorder="0" applyAlignment="0" applyProtection="0">
      <alignment vertical="center"/>
    </xf>
    <xf numFmtId="0" fontId="23" fillId="10" borderId="0" applyNumberFormat="0" applyBorder="0" applyAlignment="0" applyProtection="0">
      <alignment vertical="center"/>
    </xf>
    <xf numFmtId="0" fontId="24" fillId="0" borderId="0">
      <alignment vertical="center"/>
    </xf>
    <xf numFmtId="0" fontId="25" fillId="13" borderId="0" applyNumberFormat="0" applyBorder="0" applyAlignment="0" applyProtection="0">
      <alignment vertical="center"/>
    </xf>
    <xf numFmtId="0" fontId="23" fillId="28" borderId="0" applyNumberFormat="0" applyBorder="0" applyAlignment="0" applyProtection="0">
      <alignment vertical="center"/>
    </xf>
    <xf numFmtId="0" fontId="23" fillId="4" borderId="0" applyNumberFormat="0" applyBorder="0" applyAlignment="0" applyProtection="0">
      <alignment vertical="center"/>
    </xf>
    <xf numFmtId="0" fontId="16" fillId="0" borderId="0"/>
    <xf numFmtId="0" fontId="25" fillId="6" borderId="0" applyNumberFormat="0" applyBorder="0" applyAlignment="0" applyProtection="0">
      <alignment vertical="center"/>
    </xf>
    <xf numFmtId="0" fontId="23" fillId="22" borderId="0" applyNumberFormat="0" applyBorder="0" applyAlignment="0" applyProtection="0">
      <alignment vertical="center"/>
    </xf>
    <xf numFmtId="0" fontId="24" fillId="0" borderId="0">
      <alignment vertical="center"/>
    </xf>
  </cellStyleXfs>
  <cellXfs count="124">
    <xf numFmtId="0" fontId="0" fillId="0" borderId="0" xfId="0"/>
    <xf numFmtId="0" fontId="1" fillId="0" borderId="1" xfId="0" applyFont="1" applyFill="1" applyBorder="1" applyAlignment="1">
      <alignment vertical="center"/>
    </xf>
    <xf numFmtId="0" fontId="2" fillId="0" borderId="1" xfId="48" applyFont="1" applyBorder="1" applyAlignment="1">
      <alignment horizontal="center" vertical="center"/>
    </xf>
    <xf numFmtId="0" fontId="3" fillId="0" borderId="1" xfId="44" applyFont="1" applyBorder="1" applyAlignment="1">
      <alignment horizontal="center" vertical="center"/>
    </xf>
    <xf numFmtId="0" fontId="4" fillId="0" borderId="1" xfId="0" applyFont="1" applyBorder="1" applyAlignment="1">
      <alignment horizontal="center"/>
    </xf>
    <xf numFmtId="0" fontId="5" fillId="0" borderId="1" xfId="0" applyNumberFormat="1" applyFont="1" applyFill="1" applyBorder="1" applyAlignment="1" applyProtection="1">
      <alignment horizontal="center" vertical="center"/>
    </xf>
    <xf numFmtId="0" fontId="5" fillId="2" borderId="1" xfId="0" applyNumberFormat="1" applyFont="1" applyFill="1" applyBorder="1" applyAlignment="1">
      <alignment horizontal="center" vertical="center"/>
    </xf>
    <xf numFmtId="0" fontId="5" fillId="0" borderId="1" xfId="0" applyFont="1" applyBorder="1" applyAlignment="1">
      <alignment horizontal="center"/>
    </xf>
    <xf numFmtId="0" fontId="6" fillId="0" borderId="1" xfId="44" applyFont="1" applyBorder="1">
      <alignment vertical="center"/>
    </xf>
    <xf numFmtId="0" fontId="4" fillId="0" borderId="1" xfId="0" applyFont="1" applyFill="1" applyBorder="1" applyAlignment="1">
      <alignment horizontal="center" vertical="center"/>
    </xf>
    <xf numFmtId="0" fontId="7" fillId="0" borderId="0" xfId="0" applyFont="1" applyFill="1" applyBorder="1" applyAlignment="1">
      <alignment horizontal="center" vertical="center"/>
    </xf>
    <xf numFmtId="0" fontId="8" fillId="0" borderId="0" xfId="0" applyFont="1" applyFill="1" applyAlignment="1"/>
    <xf numFmtId="0" fontId="9" fillId="0" borderId="0" xfId="0" applyFont="1" applyFill="1" applyAlignment="1"/>
    <xf numFmtId="0" fontId="10" fillId="0" borderId="1" xfId="0" applyFont="1" applyFill="1" applyBorder="1" applyAlignment="1">
      <alignment vertical="center"/>
    </xf>
    <xf numFmtId="0" fontId="8" fillId="0" borderId="0" xfId="0" applyFont="1"/>
    <xf numFmtId="0" fontId="8" fillId="0" borderId="0" xfId="0" applyFont="1" applyAlignment="1">
      <alignment horizontal="center"/>
    </xf>
    <xf numFmtId="49" fontId="7" fillId="2" borderId="1" xfId="0" applyNumberFormat="1" applyFont="1" applyFill="1" applyBorder="1" applyAlignment="1" applyProtection="1">
      <alignment horizontal="center" vertical="center"/>
    </xf>
    <xf numFmtId="0" fontId="11" fillId="0" borderId="1" xfId="0" applyFont="1" applyFill="1" applyBorder="1" applyAlignment="1">
      <alignment horizontal="center" vertical="center"/>
    </xf>
    <xf numFmtId="14" fontId="11" fillId="0" borderId="1" xfId="0" applyNumberFormat="1" applyFont="1" applyFill="1" applyBorder="1" applyAlignment="1">
      <alignment horizontal="center" vertical="center"/>
    </xf>
    <xf numFmtId="0" fontId="10" fillId="0" borderId="1" xfId="0" applyFont="1" applyFill="1" applyBorder="1" applyAlignment="1">
      <alignment horizontal="center" vertical="center"/>
    </xf>
    <xf numFmtId="0" fontId="12" fillId="2" borderId="1" xfId="0" applyNumberFormat="1" applyFont="1" applyFill="1" applyBorder="1" applyAlignment="1" applyProtection="1">
      <alignment horizontal="center" vertical="center"/>
    </xf>
    <xf numFmtId="49" fontId="12" fillId="2" borderId="1" xfId="0" applyNumberFormat="1" applyFont="1" applyFill="1" applyBorder="1" applyAlignment="1" applyProtection="1">
      <alignment horizontal="center" vertical="center"/>
    </xf>
    <xf numFmtId="0" fontId="13" fillId="0" borderId="1" xfId="0" applyNumberFormat="1" applyFont="1" applyFill="1" applyBorder="1" applyAlignment="1" applyProtection="1">
      <alignment horizontal="center"/>
    </xf>
    <xf numFmtId="0" fontId="14" fillId="0" borderId="1" xfId="0" applyNumberFormat="1" applyFont="1" applyFill="1" applyBorder="1" applyAlignment="1" applyProtection="1">
      <alignment horizontal="center"/>
    </xf>
    <xf numFmtId="14" fontId="10" fillId="0" borderId="1" xfId="0" applyNumberFormat="1" applyFont="1" applyFill="1" applyBorder="1" applyAlignment="1">
      <alignment horizontal="center" vertical="center"/>
    </xf>
    <xf numFmtId="176" fontId="10" fillId="0" borderId="1" xfId="0" applyNumberFormat="1" applyFont="1" applyFill="1" applyBorder="1" applyAlignment="1">
      <alignment horizontal="center" vertical="center"/>
    </xf>
    <xf numFmtId="49" fontId="11" fillId="0" borderId="1" xfId="0" applyNumberFormat="1" applyFont="1" applyFill="1" applyBorder="1" applyAlignment="1">
      <alignment horizontal="center" vertical="center"/>
    </xf>
    <xf numFmtId="0" fontId="12" fillId="0" borderId="0" xfId="0" applyFont="1" applyFill="1" applyBorder="1" applyAlignment="1">
      <alignment horizontal="center" vertical="center"/>
    </xf>
    <xf numFmtId="0" fontId="12" fillId="0" borderId="1" xfId="0" applyFont="1" applyFill="1" applyBorder="1" applyAlignment="1">
      <alignment horizontal="center"/>
    </xf>
    <xf numFmtId="0" fontId="12" fillId="0" borderId="1" xfId="0" applyFont="1" applyFill="1" applyBorder="1" applyAlignment="1" applyProtection="1">
      <alignment horizontal="center" vertical="center"/>
    </xf>
    <xf numFmtId="0" fontId="15" fillId="0" borderId="1" xfId="0" applyFont="1" applyFill="1" applyBorder="1" applyAlignment="1">
      <alignment horizontal="center" vertical="center"/>
    </xf>
    <xf numFmtId="0" fontId="16" fillId="0" borderId="1" xfId="0" applyFont="1" applyFill="1" applyBorder="1" applyAlignment="1">
      <alignment horizontal="center" vertical="center"/>
    </xf>
    <xf numFmtId="0" fontId="15" fillId="0" borderId="1" xfId="0" applyFont="1" applyFill="1" applyBorder="1" applyAlignment="1">
      <alignment horizontal="center"/>
    </xf>
    <xf numFmtId="177" fontId="16" fillId="0" borderId="1" xfId="0" applyNumberFormat="1" applyFont="1" applyFill="1" applyBorder="1" applyAlignment="1">
      <alignment horizontal="center" vertical="center"/>
    </xf>
    <xf numFmtId="0" fontId="17" fillId="0" borderId="1" xfId="0" applyFont="1" applyFill="1" applyBorder="1" applyAlignment="1">
      <alignment horizontal="center" vertical="center"/>
    </xf>
    <xf numFmtId="0" fontId="1" fillId="0" borderId="1" xfId="0" applyNumberFormat="1" applyFont="1" applyFill="1" applyBorder="1" applyAlignment="1">
      <alignment horizontal="center"/>
    </xf>
    <xf numFmtId="0" fontId="1" fillId="0" borderId="1" xfId="0" applyFont="1" applyFill="1" applyBorder="1" applyAlignment="1">
      <alignment horizontal="center"/>
    </xf>
    <xf numFmtId="49" fontId="1" fillId="0" borderId="1" xfId="0" applyNumberFormat="1" applyFont="1" applyFill="1" applyBorder="1" applyAlignment="1">
      <alignment horizontal="center"/>
    </xf>
    <xf numFmtId="0" fontId="1" fillId="0" borderId="1" xfId="0" applyFont="1" applyFill="1" applyBorder="1" applyAlignment="1">
      <alignment horizontal="center" vertical="center"/>
    </xf>
    <xf numFmtId="178" fontId="1" fillId="0" borderId="1" xfId="0" applyNumberFormat="1" applyFont="1" applyFill="1" applyBorder="1" applyAlignment="1">
      <alignment horizontal="center" vertical="center"/>
    </xf>
    <xf numFmtId="176" fontId="1" fillId="0" borderId="1" xfId="0" applyNumberFormat="1" applyFont="1" applyFill="1" applyBorder="1" applyAlignment="1">
      <alignment horizontal="center" vertical="center"/>
    </xf>
    <xf numFmtId="0" fontId="17" fillId="0" borderId="1" xfId="0" applyNumberFormat="1" applyFont="1" applyFill="1" applyBorder="1" applyAlignment="1">
      <alignment horizontal="center" vertical="center"/>
    </xf>
    <xf numFmtId="14" fontId="17"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xf>
    <xf numFmtId="179" fontId="1" fillId="0" borderId="1" xfId="0" applyNumberFormat="1" applyFont="1" applyFill="1" applyBorder="1" applyAlignment="1">
      <alignment horizontal="center" vertical="center"/>
    </xf>
    <xf numFmtId="177" fontId="1" fillId="0" borderId="1" xfId="0" applyNumberFormat="1" applyFont="1" applyFill="1" applyBorder="1" applyAlignment="1">
      <alignment horizontal="center" vertical="center"/>
    </xf>
    <xf numFmtId="49" fontId="1" fillId="0" borderId="1" xfId="0" applyNumberFormat="1" applyFont="1" applyFill="1" applyBorder="1" applyAlignment="1">
      <alignment horizontal="center" vertical="center"/>
    </xf>
    <xf numFmtId="49" fontId="1" fillId="0" borderId="1" xfId="0" applyNumberFormat="1" applyFont="1" applyFill="1" applyBorder="1" applyAlignment="1" applyProtection="1">
      <alignment horizontal="center" vertical="center"/>
    </xf>
    <xf numFmtId="49" fontId="17" fillId="0" borderId="1" xfId="0" applyNumberFormat="1" applyFont="1" applyFill="1" applyBorder="1" applyAlignment="1">
      <alignment horizontal="center" vertical="center"/>
    </xf>
    <xf numFmtId="179" fontId="17" fillId="0" borderId="1" xfId="0" applyNumberFormat="1" applyFont="1" applyFill="1" applyBorder="1" applyAlignment="1">
      <alignment horizontal="center" vertical="center"/>
    </xf>
    <xf numFmtId="180" fontId="17" fillId="0" borderId="1" xfId="0" applyNumberFormat="1" applyFont="1" applyFill="1" applyBorder="1" applyAlignment="1">
      <alignment horizontal="center" vertical="center"/>
    </xf>
    <xf numFmtId="0" fontId="18" fillId="2" borderId="1" xfId="0" applyNumberFormat="1" applyFont="1" applyFill="1" applyBorder="1" applyAlignment="1" applyProtection="1">
      <alignment horizontal="center" vertical="center"/>
    </xf>
    <xf numFmtId="49" fontId="18" fillId="2" borderId="1" xfId="0" applyNumberFormat="1" applyFont="1" applyFill="1" applyBorder="1" applyAlignment="1" applyProtection="1">
      <alignment horizontal="center" vertical="center"/>
    </xf>
    <xf numFmtId="181" fontId="17" fillId="0" borderId="1" xfId="0" applyNumberFormat="1" applyFont="1" applyFill="1" applyBorder="1" applyAlignment="1">
      <alignment horizontal="center" vertical="center"/>
    </xf>
    <xf numFmtId="177" fontId="1" fillId="2" borderId="1" xfId="0" applyNumberFormat="1" applyFont="1" applyFill="1" applyBorder="1" applyAlignment="1" applyProtection="1">
      <alignment horizontal="center" vertical="center"/>
    </xf>
    <xf numFmtId="0" fontId="18" fillId="0" borderId="1" xfId="0" applyFont="1" applyFill="1" applyBorder="1" applyAlignment="1">
      <alignment horizontal="center" vertical="center"/>
    </xf>
    <xf numFmtId="0" fontId="19" fillId="0" borderId="1" xfId="0" applyFont="1" applyFill="1" applyBorder="1" applyAlignment="1">
      <alignment horizontal="center" vertical="center"/>
    </xf>
    <xf numFmtId="49" fontId="17" fillId="3" borderId="1" xfId="25" applyNumberFormat="1" applyFont="1" applyFill="1" applyBorder="1" applyAlignment="1">
      <alignment horizontal="center" vertical="center"/>
    </xf>
    <xf numFmtId="0" fontId="20" fillId="2" borderId="1" xfId="0" applyNumberFormat="1" applyFont="1" applyFill="1" applyBorder="1" applyAlignment="1">
      <alignment horizontal="center" vertical="center"/>
    </xf>
    <xf numFmtId="0" fontId="21" fillId="0" borderId="1" xfId="0" applyNumberFormat="1" applyFont="1" applyFill="1" applyBorder="1" applyAlignment="1" applyProtection="1">
      <alignment horizontal="center"/>
    </xf>
    <xf numFmtId="176" fontId="17" fillId="0" borderId="1" xfId="0" applyNumberFormat="1" applyFont="1" applyFill="1" applyBorder="1" applyAlignment="1">
      <alignment horizontal="center" vertical="center"/>
    </xf>
    <xf numFmtId="0" fontId="1" fillId="0" borderId="1" xfId="0" applyNumberFormat="1" applyFont="1" applyFill="1" applyBorder="1" applyAlignment="1" applyProtection="1">
      <alignment horizontal="center"/>
    </xf>
    <xf numFmtId="49" fontId="20" fillId="2" borderId="1" xfId="0" applyNumberFormat="1" applyFont="1" applyFill="1" applyBorder="1" applyAlignment="1">
      <alignment horizontal="center" vertical="center"/>
    </xf>
    <xf numFmtId="0" fontId="20" fillId="0" borderId="1" xfId="0" applyNumberFormat="1" applyFont="1" applyFill="1" applyBorder="1" applyAlignment="1">
      <alignment horizontal="center" vertical="center"/>
    </xf>
    <xf numFmtId="0" fontId="1" fillId="0" borderId="1" xfId="0" applyFont="1" applyFill="1" applyBorder="1" applyAlignment="1" applyProtection="1">
      <alignment horizontal="center" vertical="center"/>
    </xf>
    <xf numFmtId="0" fontId="1" fillId="0" borderId="1" xfId="0" applyFont="1" applyFill="1" applyBorder="1" applyAlignment="1" applyProtection="1">
      <alignment horizontal="center" vertical="center" wrapText="1"/>
    </xf>
    <xf numFmtId="177" fontId="1" fillId="0" borderId="1" xfId="0" applyNumberFormat="1" applyFont="1" applyFill="1" applyBorder="1" applyAlignment="1">
      <alignment horizontal="center" vertical="center" wrapText="1"/>
    </xf>
    <xf numFmtId="0" fontId="17" fillId="0" borderId="1" xfId="0" applyFont="1" applyFill="1" applyBorder="1" applyAlignment="1">
      <alignment horizontal="center" vertical="top"/>
    </xf>
    <xf numFmtId="0" fontId="1" fillId="0" borderId="1" xfId="0" applyFont="1" applyFill="1" applyBorder="1" applyAlignment="1" applyProtection="1">
      <alignment horizontal="center" vertical="top"/>
    </xf>
    <xf numFmtId="0" fontId="20" fillId="0" borderId="1" xfId="0" applyFont="1" applyFill="1" applyBorder="1" applyAlignment="1">
      <alignment horizontal="center" vertical="center" wrapText="1"/>
    </xf>
    <xf numFmtId="14" fontId="17" fillId="0" borderId="1" xfId="0" applyNumberFormat="1" applyFont="1" applyFill="1" applyBorder="1" applyAlignment="1">
      <alignment horizontal="center" vertical="top"/>
    </xf>
    <xf numFmtId="0" fontId="1" fillId="0" borderId="1" xfId="0" applyFont="1" applyFill="1" applyBorder="1" applyAlignment="1" applyProtection="1">
      <alignment horizontal="center" vertical="top" wrapText="1"/>
    </xf>
    <xf numFmtId="177" fontId="1" fillId="0" borderId="1" xfId="0" applyNumberFormat="1" applyFont="1" applyFill="1" applyBorder="1" applyAlignment="1">
      <alignment horizontal="center" vertical="top"/>
    </xf>
    <xf numFmtId="179" fontId="18" fillId="0" borderId="1" xfId="0" applyNumberFormat="1" applyFont="1" applyFill="1" applyBorder="1" applyAlignment="1">
      <alignment horizontal="center" vertical="top"/>
    </xf>
    <xf numFmtId="0" fontId="1" fillId="0" borderId="1" xfId="0" applyNumberFormat="1" applyFont="1" applyFill="1" applyBorder="1" applyAlignment="1" applyProtection="1">
      <alignment horizontal="center" vertical="top"/>
    </xf>
    <xf numFmtId="182" fontId="1" fillId="0" borderId="1" xfId="0" applyNumberFormat="1" applyFont="1" applyFill="1" applyBorder="1" applyAlignment="1" applyProtection="1">
      <alignment horizontal="center" vertical="top" wrapText="1"/>
    </xf>
    <xf numFmtId="182" fontId="1" fillId="0" borderId="1" xfId="0" applyNumberFormat="1" applyFont="1" applyFill="1" applyBorder="1" applyAlignment="1" applyProtection="1">
      <alignment horizontal="center" vertical="top"/>
    </xf>
    <xf numFmtId="182" fontId="17" fillId="0" borderId="1" xfId="0" applyNumberFormat="1" applyFont="1" applyFill="1" applyBorder="1" applyAlignment="1">
      <alignment horizontal="center" vertical="top"/>
    </xf>
    <xf numFmtId="182" fontId="18" fillId="0" borderId="1" xfId="0" applyNumberFormat="1" applyFont="1" applyFill="1" applyBorder="1" applyAlignment="1">
      <alignment horizontal="center" vertical="top" wrapText="1"/>
    </xf>
    <xf numFmtId="182" fontId="18" fillId="0" borderId="1" xfId="0" applyNumberFormat="1" applyFont="1" applyFill="1" applyBorder="1" applyAlignment="1">
      <alignment horizontal="center" vertical="top"/>
    </xf>
    <xf numFmtId="0" fontId="17" fillId="3" borderId="1" xfId="0" applyFont="1" applyFill="1" applyBorder="1" applyAlignment="1">
      <alignment horizontal="center" vertical="center"/>
    </xf>
    <xf numFmtId="49" fontId="17" fillId="3" borderId="1" xfId="51" applyNumberFormat="1" applyFont="1" applyFill="1" applyBorder="1" applyAlignment="1">
      <alignment horizontal="center" vertical="center"/>
    </xf>
    <xf numFmtId="176" fontId="17" fillId="3" borderId="1" xfId="51" applyNumberFormat="1" applyFont="1" applyFill="1" applyBorder="1" applyAlignment="1">
      <alignment horizontal="center" vertical="center"/>
    </xf>
    <xf numFmtId="0" fontId="17" fillId="3" borderId="1" xfId="0" applyFont="1" applyFill="1" applyBorder="1" applyAlignment="1">
      <alignment horizontal="center" vertical="center" wrapText="1"/>
    </xf>
    <xf numFmtId="177" fontId="1" fillId="3" borderId="1" xfId="51" applyNumberFormat="1" applyFont="1" applyFill="1" applyBorder="1" applyAlignment="1">
      <alignment horizontal="center" vertical="center"/>
    </xf>
    <xf numFmtId="49" fontId="17" fillId="0" borderId="1" xfId="51" applyNumberFormat="1" applyFont="1" applyFill="1" applyBorder="1" applyAlignment="1">
      <alignment horizontal="center" vertical="center"/>
    </xf>
    <xf numFmtId="0" fontId="17" fillId="0" borderId="1" xfId="0" applyFont="1" applyFill="1" applyBorder="1" applyAlignment="1" applyProtection="1">
      <alignment horizontal="center" vertical="center"/>
    </xf>
    <xf numFmtId="0" fontId="16" fillId="0" borderId="1" xfId="0" applyFont="1" applyBorder="1" applyAlignment="1">
      <alignment horizontal="center"/>
    </xf>
    <xf numFmtId="0" fontId="16" fillId="0" borderId="2" xfId="0" applyFont="1" applyBorder="1" applyAlignment="1">
      <alignment horizontal="center"/>
    </xf>
    <xf numFmtId="0" fontId="16" fillId="0" borderId="1" xfId="0" applyFont="1" applyFill="1" applyBorder="1" applyAlignment="1">
      <alignment horizontal="center"/>
    </xf>
    <xf numFmtId="0" fontId="16" fillId="0" borderId="3" xfId="0" applyFont="1" applyBorder="1" applyAlignment="1">
      <alignment horizontal="center"/>
    </xf>
    <xf numFmtId="183" fontId="16" fillId="0" borderId="1" xfId="0" applyNumberFormat="1" applyFont="1" applyBorder="1" applyAlignment="1">
      <alignment horizontal="center"/>
    </xf>
    <xf numFmtId="184" fontId="16" fillId="0" borderId="1" xfId="0" applyNumberFormat="1" applyFont="1" applyBorder="1" applyAlignment="1">
      <alignment horizontal="center"/>
    </xf>
    <xf numFmtId="0" fontId="22" fillId="0" borderId="1" xfId="0" applyFont="1" applyBorder="1" applyAlignment="1">
      <alignment horizontal="center"/>
    </xf>
    <xf numFmtId="0" fontId="1" fillId="0" borderId="1" xfId="0" applyFont="1" applyBorder="1" applyAlignment="1">
      <alignment horizontal="center"/>
    </xf>
    <xf numFmtId="183" fontId="1" fillId="0" borderId="1" xfId="0" applyNumberFormat="1" applyFont="1" applyFill="1" applyBorder="1" applyAlignment="1">
      <alignment horizontal="center"/>
    </xf>
    <xf numFmtId="183" fontId="1" fillId="0" borderId="1" xfId="0" applyNumberFormat="1" applyFont="1" applyFill="1" applyBorder="1" applyAlignment="1">
      <alignment horizontal="center" vertical="center"/>
    </xf>
    <xf numFmtId="184" fontId="1" fillId="0" borderId="1" xfId="0" applyNumberFormat="1" applyFont="1" applyFill="1" applyBorder="1" applyAlignment="1">
      <alignment horizontal="center" vertical="center"/>
    </xf>
    <xf numFmtId="0" fontId="1" fillId="0" borderId="1" xfId="0" applyFont="1" applyBorder="1" applyAlignment="1">
      <alignment horizontal="center" vertical="center"/>
    </xf>
    <xf numFmtId="183" fontId="1" fillId="0" borderId="1" xfId="0" applyNumberFormat="1" applyFont="1" applyBorder="1" applyAlignment="1">
      <alignment horizontal="center"/>
    </xf>
    <xf numFmtId="183" fontId="1" fillId="0" borderId="1" xfId="0" applyNumberFormat="1" applyFont="1" applyBorder="1" applyAlignment="1">
      <alignment horizontal="center" vertical="center"/>
    </xf>
    <xf numFmtId="0" fontId="1" fillId="0" borderId="1" xfId="0" applyNumberFormat="1" applyFont="1" applyFill="1" applyBorder="1" applyAlignment="1" applyProtection="1">
      <alignment horizontal="center" vertical="center"/>
    </xf>
    <xf numFmtId="0" fontId="1" fillId="2" borderId="1" xfId="0" applyNumberFormat="1" applyFont="1" applyFill="1" applyBorder="1" applyAlignment="1" applyProtection="1">
      <alignment horizontal="center" vertical="center"/>
    </xf>
    <xf numFmtId="184" fontId="1" fillId="0" borderId="1" xfId="0" applyNumberFormat="1" applyFont="1" applyBorder="1" applyAlignment="1">
      <alignment horizontal="center"/>
    </xf>
    <xf numFmtId="184" fontId="1" fillId="0" borderId="1" xfId="0" applyNumberFormat="1" applyFont="1" applyBorder="1" applyAlignment="1">
      <alignment horizontal="center" vertical="center"/>
    </xf>
    <xf numFmtId="0" fontId="1" fillId="0" borderId="2" xfId="0" applyNumberFormat="1" applyFont="1" applyFill="1" applyBorder="1" applyAlignment="1" applyProtection="1">
      <alignment horizontal="center" vertical="center"/>
    </xf>
    <xf numFmtId="0" fontId="1" fillId="2" borderId="2" xfId="0" applyNumberFormat="1" applyFont="1" applyFill="1" applyBorder="1" applyAlignment="1" applyProtection="1">
      <alignment horizontal="center" vertical="center"/>
    </xf>
    <xf numFmtId="0" fontId="1" fillId="0" borderId="2" xfId="0" applyFont="1" applyBorder="1" applyAlignment="1">
      <alignment horizontal="center"/>
    </xf>
    <xf numFmtId="183" fontId="1" fillId="0" borderId="2" xfId="0" applyNumberFormat="1" applyFont="1" applyFill="1" applyBorder="1" applyAlignment="1">
      <alignment horizontal="center" vertical="center"/>
    </xf>
    <xf numFmtId="49" fontId="1" fillId="2" borderId="1" xfId="0" applyNumberFormat="1" applyFont="1" applyFill="1" applyBorder="1" applyAlignment="1" applyProtection="1">
      <alignment horizontal="center" vertical="center"/>
    </xf>
    <xf numFmtId="0" fontId="1" fillId="0" borderId="3" xfId="0" applyNumberFormat="1" applyFont="1" applyFill="1" applyBorder="1" applyAlignment="1" applyProtection="1">
      <alignment horizontal="center" vertical="center"/>
    </xf>
    <xf numFmtId="0" fontId="1" fillId="2" borderId="3" xfId="0" applyNumberFormat="1" applyFont="1" applyFill="1" applyBorder="1" applyAlignment="1" applyProtection="1">
      <alignment horizontal="center" vertical="center"/>
    </xf>
    <xf numFmtId="0" fontId="1" fillId="0" borderId="3" xfId="0" applyFont="1" applyBorder="1" applyAlignment="1">
      <alignment horizontal="center"/>
    </xf>
    <xf numFmtId="183" fontId="1" fillId="0" borderId="3" xfId="0" applyNumberFormat="1" applyFont="1" applyFill="1" applyBorder="1" applyAlignment="1">
      <alignment horizontal="center" vertical="center"/>
    </xf>
    <xf numFmtId="0" fontId="1" fillId="2" borderId="1" xfId="0" applyNumberFormat="1" applyFont="1" applyFill="1" applyBorder="1" applyAlignment="1">
      <alignment horizontal="center" vertical="center"/>
    </xf>
    <xf numFmtId="183" fontId="1" fillId="0" borderId="1" xfId="0" applyNumberFormat="1" applyFont="1" applyFill="1" applyBorder="1" applyAlignment="1">
      <alignment horizontal="center" vertical="center" wrapText="1"/>
    </xf>
    <xf numFmtId="0" fontId="1" fillId="0" borderId="2" xfId="0" applyFont="1" applyFill="1" applyBorder="1" applyAlignment="1">
      <alignment horizontal="center" vertical="center"/>
    </xf>
    <xf numFmtId="1" fontId="1" fillId="0" borderId="2" xfId="0" applyNumberFormat="1" applyFont="1" applyFill="1" applyBorder="1" applyAlignment="1">
      <alignment horizontal="center" vertical="center"/>
    </xf>
    <xf numFmtId="184" fontId="1" fillId="0" borderId="2" xfId="0" applyNumberFormat="1" applyFont="1" applyFill="1" applyBorder="1" applyAlignment="1">
      <alignment horizontal="center" vertical="center"/>
    </xf>
    <xf numFmtId="0" fontId="1" fillId="0" borderId="3" xfId="0" applyFont="1" applyFill="1" applyBorder="1" applyAlignment="1">
      <alignment horizontal="center" vertical="center"/>
    </xf>
    <xf numFmtId="1" fontId="1" fillId="0" borderId="3" xfId="0" applyNumberFormat="1" applyFont="1" applyFill="1" applyBorder="1" applyAlignment="1">
      <alignment horizontal="center" vertical="center"/>
    </xf>
    <xf numFmtId="184" fontId="1" fillId="0" borderId="3" xfId="0" applyNumberFormat="1" applyFont="1" applyFill="1" applyBorder="1" applyAlignment="1">
      <alignment horizontal="center" vertical="center"/>
    </xf>
    <xf numFmtId="0" fontId="16" fillId="0" borderId="2" xfId="0" applyFont="1" applyFill="1" applyBorder="1" applyAlignment="1">
      <alignment horizontal="center" vertical="center"/>
    </xf>
    <xf numFmtId="0" fontId="16" fillId="0" borderId="3" xfId="0" applyFont="1" applyFill="1" applyBorder="1" applyAlignment="1">
      <alignment horizontal="center" vertical="center"/>
    </xf>
    <xf numFmtId="177" fontId="1" fillId="0" borderId="1" xfId="0" applyNumberFormat="1" applyFont="1" applyFill="1" applyBorder="1" applyAlignment="1" quotePrefix="1">
      <alignment horizontal="center" vertical="center"/>
    </xf>
    <xf numFmtId="176" fontId="1" fillId="0" borderId="1" xfId="0" applyNumberFormat="1" applyFont="1" applyFill="1" applyBorder="1" applyAlignment="1" quotePrefix="1">
      <alignment horizontal="center" vertical="center"/>
    </xf>
    <xf numFmtId="179" fontId="17" fillId="0" borderId="1" xfId="0" applyNumberFormat="1" applyFont="1" applyFill="1" applyBorder="1" applyAlignment="1" quotePrefix="1">
      <alignment horizontal="center" vertical="center"/>
    </xf>
    <xf numFmtId="0" fontId="17" fillId="0" borderId="1" xfId="0" applyFont="1" applyFill="1" applyBorder="1" applyAlignment="1" quotePrefix="1">
      <alignment horizontal="center" vertical="center"/>
    </xf>
    <xf numFmtId="181" fontId="17" fillId="0" borderId="1" xfId="0" applyNumberFormat="1" applyFont="1" applyFill="1" applyBorder="1" applyAlignment="1" quotePrefix="1">
      <alignment horizontal="center" vertical="center"/>
    </xf>
    <xf numFmtId="177" fontId="1" fillId="2" borderId="1" xfId="0" applyNumberFormat="1" applyFont="1" applyFill="1" applyBorder="1" applyAlignment="1" applyProtection="1" quotePrefix="1">
      <alignment horizontal="center" vertical="center"/>
    </xf>
    <xf numFmtId="0" fontId="1" fillId="0" borderId="1" xfId="0" applyFont="1" applyFill="1" applyBorder="1" applyAlignment="1" applyProtection="1" quotePrefix="1">
      <alignment horizontal="center" vertical="center"/>
    </xf>
    <xf numFmtId="177" fontId="1" fillId="0" borderId="1" xfId="0" applyNumberFormat="1" applyFont="1" applyFill="1" applyBorder="1" applyAlignment="1" quotePrefix="1">
      <alignment horizontal="center" vertical="center" wrapText="1"/>
    </xf>
    <xf numFmtId="177" fontId="1" fillId="0" borderId="1" xfId="0" applyNumberFormat="1" applyFont="1" applyFill="1" applyBorder="1" applyAlignment="1" quotePrefix="1">
      <alignment horizontal="center" vertical="top"/>
    </xf>
    <xf numFmtId="179" fontId="18" fillId="0" borderId="1" xfId="0" applyNumberFormat="1" applyFont="1" applyFill="1" applyBorder="1" applyAlignment="1" quotePrefix="1">
      <alignment horizontal="center" vertical="top"/>
    </xf>
    <xf numFmtId="0" fontId="1" fillId="0" borderId="1" xfId="0" applyNumberFormat="1" applyFont="1" applyFill="1" applyBorder="1" applyAlignment="1" applyProtection="1" quotePrefix="1">
      <alignment horizontal="center" vertical="top"/>
    </xf>
    <xf numFmtId="182" fontId="1" fillId="0" borderId="1" xfId="0" applyNumberFormat="1" applyFont="1" applyFill="1" applyBorder="1" applyAlignment="1" applyProtection="1" quotePrefix="1">
      <alignment horizontal="center" vertical="top" wrapText="1"/>
    </xf>
    <xf numFmtId="182" fontId="1" fillId="0" borderId="1" xfId="0" applyNumberFormat="1" applyFont="1" applyFill="1" applyBorder="1" applyAlignment="1" applyProtection="1" quotePrefix="1">
      <alignment horizontal="center" vertical="top"/>
    </xf>
    <xf numFmtId="182" fontId="18" fillId="0" borderId="1" xfId="0" applyNumberFormat="1" applyFont="1" applyFill="1" applyBorder="1" applyAlignment="1" quotePrefix="1">
      <alignment horizontal="center" vertical="top" wrapText="1"/>
    </xf>
    <xf numFmtId="182" fontId="18" fillId="0" borderId="1" xfId="0" applyNumberFormat="1" applyFont="1" applyFill="1" applyBorder="1" applyAlignment="1" quotePrefix="1">
      <alignment horizontal="center" vertical="top"/>
    </xf>
    <xf numFmtId="177" fontId="1" fillId="3" borderId="1" xfId="51" applyNumberFormat="1" applyFont="1" applyFill="1" applyBorder="1" applyAlignment="1" quotePrefix="1">
      <alignment horizontal="center" vertical="center"/>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常规 2 2" xfId="44"/>
    <cellStyle name="40% - 强调文字颜色 5" xfId="45" builtinId="47"/>
    <cellStyle name="60% - 强调文字颜色 5" xfId="46" builtinId="48"/>
    <cellStyle name="强调文字颜色 6" xfId="47" builtinId="49"/>
    <cellStyle name="常规 2 3" xfId="48"/>
    <cellStyle name="40% - 强调文字颜色 6" xfId="49" builtinId="51"/>
    <cellStyle name="60% - 强调文字颜色 6" xfId="50" builtinId="52"/>
    <cellStyle name="常规 2" xfId="51"/>
  </cellStyles>
  <tableStyles count="0" defaultTableStyle="TableStyleMedium9" defaultPivotStyle="PivotStyleMedium4"/>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66"/>
  <sheetViews>
    <sheetView workbookViewId="0">
      <pane ySplit="1" topLeftCell="A353" activePane="bottomLeft" state="frozen"/>
      <selection/>
      <selection pane="bottomLeft" activeCell="D363" sqref="D363"/>
    </sheetView>
  </sheetViews>
  <sheetFormatPr defaultColWidth="8" defaultRowHeight="12.75"/>
  <cols>
    <col min="1" max="2" width="8" style="87"/>
    <col min="3" max="3" width="15.875" style="87" customWidth="1"/>
    <col min="4" max="4" width="10.875" style="87" customWidth="1"/>
    <col min="5" max="5" width="10" style="31"/>
    <col min="6" max="6" width="8" style="87" customWidth="1"/>
    <col min="7" max="7" width="6.125" style="87" customWidth="1"/>
    <col min="8" max="8" width="8.375" style="91" customWidth="1"/>
    <col min="9" max="9" width="8" style="91" customWidth="1"/>
    <col min="10" max="10" width="8" style="87" customWidth="1"/>
    <col min="11" max="11" width="9.875" style="91" customWidth="1"/>
    <col min="12" max="12" width="8" style="91" customWidth="1"/>
    <col min="13" max="14" width="8" style="87" customWidth="1"/>
    <col min="15" max="15" width="12.75" style="87" customWidth="1"/>
    <col min="16" max="17" width="8" style="92" customWidth="1"/>
    <col min="18" max="16384" width="8" style="87" customWidth="1"/>
  </cols>
  <sheetData>
    <row r="1" ht="14.25" customHeight="1" spans="1:17">
      <c r="A1" s="93" t="s">
        <v>0</v>
      </c>
      <c r="B1" s="93" t="s">
        <v>1</v>
      </c>
      <c r="C1" s="94" t="s">
        <v>2</v>
      </c>
      <c r="D1" s="94" t="s">
        <v>3</v>
      </c>
      <c r="E1" s="38" t="s">
        <v>4</v>
      </c>
      <c r="F1" s="36" t="s">
        <v>5</v>
      </c>
      <c r="G1" s="36" t="s">
        <v>6</v>
      </c>
      <c r="H1" s="95" t="s">
        <v>7</v>
      </c>
      <c r="I1" s="95" t="s">
        <v>8</v>
      </c>
      <c r="J1" s="36" t="s">
        <v>9</v>
      </c>
      <c r="K1" s="95" t="s">
        <v>10</v>
      </c>
      <c r="L1" s="95" t="s">
        <v>11</v>
      </c>
      <c r="M1" s="35" t="s">
        <v>12</v>
      </c>
      <c r="N1" s="35" t="s">
        <v>13</v>
      </c>
      <c r="O1" s="35" t="s">
        <v>14</v>
      </c>
      <c r="P1" s="35" t="s">
        <v>15</v>
      </c>
      <c r="Q1" s="35" t="s">
        <v>16</v>
      </c>
    </row>
    <row r="2" s="87" customFormat="1" ht="14.25" customHeight="1" spans="1:17">
      <c r="A2" s="87">
        <v>42</v>
      </c>
      <c r="B2" s="87" t="str">
        <f>LEFT(D2,6)</f>
        <v>170510</v>
      </c>
      <c r="C2" s="94" t="s">
        <v>17</v>
      </c>
      <c r="D2" s="38">
        <v>170510139</v>
      </c>
      <c r="E2" s="38">
        <v>1</v>
      </c>
      <c r="F2" s="38" t="s">
        <v>18</v>
      </c>
      <c r="G2" s="38">
        <v>2</v>
      </c>
      <c r="H2" s="96">
        <v>165.2</v>
      </c>
      <c r="I2" s="96">
        <v>61.7</v>
      </c>
      <c r="J2" s="38">
        <v>4045</v>
      </c>
      <c r="K2" s="96">
        <v>20.5</v>
      </c>
      <c r="L2" s="96">
        <v>9.7</v>
      </c>
      <c r="M2" s="38">
        <v>152</v>
      </c>
      <c r="N2" s="94"/>
      <c r="O2" s="38">
        <v>35</v>
      </c>
      <c r="P2" s="97"/>
      <c r="Q2" s="97" t="s">
        <v>19</v>
      </c>
    </row>
    <row r="3" s="87" customFormat="1" ht="14.25" customHeight="1" spans="1:17">
      <c r="A3" s="87">
        <v>42</v>
      </c>
      <c r="B3" s="87" t="str">
        <f t="shared" ref="B3:B66" si="0">LEFT(D3,6)</f>
        <v>170510</v>
      </c>
      <c r="C3" s="94" t="s">
        <v>17</v>
      </c>
      <c r="D3" s="38">
        <v>170510114</v>
      </c>
      <c r="E3" s="38">
        <v>1</v>
      </c>
      <c r="F3" s="38" t="s">
        <v>20</v>
      </c>
      <c r="G3" s="38">
        <v>2</v>
      </c>
      <c r="H3" s="96">
        <v>166.3</v>
      </c>
      <c r="I3" s="96">
        <v>53.7</v>
      </c>
      <c r="J3" s="38">
        <v>2352</v>
      </c>
      <c r="K3" s="96">
        <v>14.9</v>
      </c>
      <c r="L3" s="96">
        <v>11.2</v>
      </c>
      <c r="M3" s="38">
        <v>141</v>
      </c>
      <c r="N3" s="94"/>
      <c r="O3" s="38">
        <v>38</v>
      </c>
      <c r="P3" s="97"/>
      <c r="Q3" s="97" t="s">
        <v>21</v>
      </c>
    </row>
    <row r="4" s="87" customFormat="1" ht="14.25" customHeight="1" spans="1:17">
      <c r="A4" s="87">
        <v>42</v>
      </c>
      <c r="B4" s="87" t="str">
        <f t="shared" si="0"/>
        <v>170510</v>
      </c>
      <c r="C4" s="94" t="s">
        <v>17</v>
      </c>
      <c r="D4" s="38">
        <v>170510115</v>
      </c>
      <c r="E4" s="38">
        <v>1</v>
      </c>
      <c r="F4" s="38" t="s">
        <v>22</v>
      </c>
      <c r="G4" s="38">
        <v>2</v>
      </c>
      <c r="H4" s="96">
        <v>172.3</v>
      </c>
      <c r="I4" s="96">
        <v>58.4</v>
      </c>
      <c r="J4" s="38">
        <v>2378</v>
      </c>
      <c r="K4" s="96">
        <v>28.4</v>
      </c>
      <c r="L4" s="96">
        <v>9.5</v>
      </c>
      <c r="M4" s="38">
        <v>150</v>
      </c>
      <c r="N4" s="94"/>
      <c r="O4" s="38">
        <v>33</v>
      </c>
      <c r="P4" s="97"/>
      <c r="Q4" s="97" t="s">
        <v>23</v>
      </c>
    </row>
    <row r="5" s="87" customFormat="1" ht="14.25" customHeight="1" spans="1:17">
      <c r="A5" s="87">
        <v>42</v>
      </c>
      <c r="B5" s="87" t="str">
        <f t="shared" si="0"/>
        <v>170510</v>
      </c>
      <c r="C5" s="94" t="s">
        <v>17</v>
      </c>
      <c r="D5" s="38">
        <v>170510117</v>
      </c>
      <c r="E5" s="38">
        <v>1</v>
      </c>
      <c r="F5" s="38" t="s">
        <v>24</v>
      </c>
      <c r="G5" s="38">
        <v>2</v>
      </c>
      <c r="H5" s="96">
        <v>173.4</v>
      </c>
      <c r="I5" s="96">
        <v>72.5</v>
      </c>
      <c r="J5" s="38">
        <v>3199</v>
      </c>
      <c r="K5" s="96">
        <v>17.4</v>
      </c>
      <c r="L5" s="96">
        <v>9.6</v>
      </c>
      <c r="M5" s="38">
        <v>152</v>
      </c>
      <c r="N5" s="94"/>
      <c r="O5" s="38">
        <v>25</v>
      </c>
      <c r="P5" s="97"/>
      <c r="Q5" s="97" t="s">
        <v>25</v>
      </c>
    </row>
    <row r="6" s="87" customFormat="1" ht="14.25" customHeight="1" spans="1:17">
      <c r="A6" s="87">
        <v>42</v>
      </c>
      <c r="B6" s="87" t="str">
        <f t="shared" si="0"/>
        <v>170510</v>
      </c>
      <c r="C6" s="94" t="s">
        <v>17</v>
      </c>
      <c r="D6" s="38">
        <v>170510118</v>
      </c>
      <c r="E6" s="38">
        <v>7</v>
      </c>
      <c r="F6" s="38" t="s">
        <v>26</v>
      </c>
      <c r="G6" s="38">
        <v>2</v>
      </c>
      <c r="H6" s="96">
        <v>170.2</v>
      </c>
      <c r="I6" s="96">
        <v>63.3</v>
      </c>
      <c r="J6" s="38">
        <v>3399</v>
      </c>
      <c r="K6" s="96">
        <v>23.2</v>
      </c>
      <c r="L6" s="96">
        <v>9.7</v>
      </c>
      <c r="M6" s="38">
        <v>165</v>
      </c>
      <c r="N6" s="94"/>
      <c r="O6" s="38">
        <v>40</v>
      </c>
      <c r="P6" s="97"/>
      <c r="Q6" s="97" t="s">
        <v>27</v>
      </c>
    </row>
    <row r="7" s="87" customFormat="1" ht="14.25" customHeight="1" spans="1:17">
      <c r="A7" s="87">
        <v>42</v>
      </c>
      <c r="B7" s="87" t="str">
        <f t="shared" si="0"/>
        <v>170510</v>
      </c>
      <c r="C7" s="94" t="s">
        <v>17</v>
      </c>
      <c r="D7" s="38">
        <v>170510119</v>
      </c>
      <c r="E7" s="38">
        <v>1</v>
      </c>
      <c r="F7" s="38" t="s">
        <v>28</v>
      </c>
      <c r="G7" s="38">
        <v>2</v>
      </c>
      <c r="H7" s="96">
        <v>166.2</v>
      </c>
      <c r="I7" s="96">
        <v>57.2</v>
      </c>
      <c r="J7" s="38">
        <v>3278</v>
      </c>
      <c r="K7" s="96">
        <v>24.3</v>
      </c>
      <c r="L7" s="96">
        <v>9.5</v>
      </c>
      <c r="M7" s="38">
        <v>146</v>
      </c>
      <c r="N7" s="94"/>
      <c r="O7" s="38">
        <v>28</v>
      </c>
      <c r="P7" s="97"/>
      <c r="Q7" s="97" t="s">
        <v>29</v>
      </c>
    </row>
    <row r="8" s="87" customFormat="1" ht="14.25" customHeight="1" spans="1:17">
      <c r="A8" s="87">
        <v>42</v>
      </c>
      <c r="B8" s="87" t="str">
        <f t="shared" si="0"/>
        <v>170510</v>
      </c>
      <c r="C8" s="94" t="s">
        <v>17</v>
      </c>
      <c r="D8" s="38">
        <v>170510120</v>
      </c>
      <c r="E8" s="38">
        <v>1</v>
      </c>
      <c r="F8" s="38" t="s">
        <v>30</v>
      </c>
      <c r="G8" s="38">
        <v>2</v>
      </c>
      <c r="H8" s="96">
        <v>163.4</v>
      </c>
      <c r="I8" s="96">
        <v>53.8</v>
      </c>
      <c r="J8" s="38">
        <v>2915</v>
      </c>
      <c r="K8" s="96">
        <v>18.2</v>
      </c>
      <c r="L8" s="96">
        <v>8.8</v>
      </c>
      <c r="M8" s="38">
        <v>171</v>
      </c>
      <c r="N8" s="94"/>
      <c r="O8" s="38">
        <v>33</v>
      </c>
      <c r="P8" s="97"/>
      <c r="Q8" s="97" t="s">
        <v>31</v>
      </c>
    </row>
    <row r="9" s="87" customFormat="1" ht="14.25" customHeight="1" spans="1:17">
      <c r="A9" s="87">
        <v>42</v>
      </c>
      <c r="B9" s="87" t="str">
        <f t="shared" si="0"/>
        <v>170510</v>
      </c>
      <c r="C9" s="94" t="s">
        <v>17</v>
      </c>
      <c r="D9" s="38">
        <v>170510121</v>
      </c>
      <c r="E9" s="38">
        <v>1</v>
      </c>
      <c r="F9" s="38" t="s">
        <v>32</v>
      </c>
      <c r="G9" s="38">
        <v>2</v>
      </c>
      <c r="H9" s="96">
        <v>167.4</v>
      </c>
      <c r="I9" s="96">
        <v>64</v>
      </c>
      <c r="J9" s="38">
        <v>3526</v>
      </c>
      <c r="K9" s="96">
        <v>18.4</v>
      </c>
      <c r="L9" s="96">
        <v>9.9</v>
      </c>
      <c r="M9" s="38">
        <v>141</v>
      </c>
      <c r="N9" s="94"/>
      <c r="O9" s="38">
        <v>46</v>
      </c>
      <c r="P9" s="97"/>
      <c r="Q9" s="97" t="s">
        <v>33</v>
      </c>
    </row>
    <row r="10" s="87" customFormat="1" ht="14.25" customHeight="1" spans="1:17">
      <c r="A10" s="87">
        <v>42</v>
      </c>
      <c r="B10" s="87" t="str">
        <f t="shared" si="0"/>
        <v>170510</v>
      </c>
      <c r="C10" s="94" t="s">
        <v>17</v>
      </c>
      <c r="D10" s="38">
        <v>170510123</v>
      </c>
      <c r="E10" s="38">
        <v>1</v>
      </c>
      <c r="F10" s="38" t="s">
        <v>34</v>
      </c>
      <c r="G10" s="38">
        <v>2</v>
      </c>
      <c r="H10" s="96">
        <v>160.2</v>
      </c>
      <c r="I10" s="96">
        <v>47</v>
      </c>
      <c r="J10" s="38">
        <v>2834</v>
      </c>
      <c r="K10" s="96">
        <v>19.7</v>
      </c>
      <c r="L10" s="96">
        <v>8.1</v>
      </c>
      <c r="M10" s="38">
        <v>174</v>
      </c>
      <c r="N10" s="94"/>
      <c r="O10" s="38">
        <v>35</v>
      </c>
      <c r="P10" s="97"/>
      <c r="Q10" s="97" t="s">
        <v>19</v>
      </c>
    </row>
    <row r="11" s="87" customFormat="1" ht="14.25" customHeight="1" spans="1:17">
      <c r="A11" s="87">
        <v>42</v>
      </c>
      <c r="B11" s="87" t="str">
        <f t="shared" si="0"/>
        <v>170510</v>
      </c>
      <c r="C11" s="94" t="s">
        <v>17</v>
      </c>
      <c r="D11" s="38">
        <v>170510124</v>
      </c>
      <c r="E11" s="38">
        <v>1</v>
      </c>
      <c r="F11" s="38" t="s">
        <v>35</v>
      </c>
      <c r="G11" s="38">
        <v>2</v>
      </c>
      <c r="H11" s="96">
        <v>163.4</v>
      </c>
      <c r="I11" s="96">
        <v>63.4</v>
      </c>
      <c r="J11" s="38">
        <v>2940</v>
      </c>
      <c r="K11" s="96">
        <v>4.8</v>
      </c>
      <c r="L11" s="96">
        <v>10.1</v>
      </c>
      <c r="M11" s="38">
        <v>125</v>
      </c>
      <c r="N11" s="94"/>
      <c r="O11" s="38">
        <v>36</v>
      </c>
      <c r="P11" s="97"/>
      <c r="Q11" s="97" t="s">
        <v>36</v>
      </c>
    </row>
    <row r="12" s="87" customFormat="1" ht="14.25" customHeight="1" spans="1:17">
      <c r="A12" s="87">
        <v>42</v>
      </c>
      <c r="B12" s="87" t="str">
        <f t="shared" si="0"/>
        <v>170510</v>
      </c>
      <c r="C12" s="94" t="s">
        <v>17</v>
      </c>
      <c r="D12" s="38">
        <v>170510125</v>
      </c>
      <c r="E12" s="38">
        <v>1</v>
      </c>
      <c r="F12" s="38" t="s">
        <v>37</v>
      </c>
      <c r="G12" s="38">
        <v>2</v>
      </c>
      <c r="H12" s="96">
        <v>160.4</v>
      </c>
      <c r="I12" s="96">
        <v>49</v>
      </c>
      <c r="J12" s="38">
        <v>2052</v>
      </c>
      <c r="K12" s="96">
        <v>15.3</v>
      </c>
      <c r="L12" s="96">
        <v>9.5</v>
      </c>
      <c r="M12" s="38">
        <v>158</v>
      </c>
      <c r="N12" s="94"/>
      <c r="O12" s="38">
        <v>50</v>
      </c>
      <c r="P12" s="97"/>
      <c r="Q12" s="97" t="s">
        <v>38</v>
      </c>
    </row>
    <row r="13" s="87" customFormat="1" ht="14.25" customHeight="1" spans="1:17">
      <c r="A13" s="87">
        <v>42</v>
      </c>
      <c r="B13" s="87" t="str">
        <f t="shared" si="0"/>
        <v>170510</v>
      </c>
      <c r="C13" s="94" t="s">
        <v>17</v>
      </c>
      <c r="D13" s="38">
        <v>170510126</v>
      </c>
      <c r="E13" s="38">
        <v>1</v>
      </c>
      <c r="F13" s="38" t="s">
        <v>39</v>
      </c>
      <c r="G13" s="38">
        <v>2</v>
      </c>
      <c r="H13" s="96">
        <v>164.4</v>
      </c>
      <c r="I13" s="96">
        <v>47.2</v>
      </c>
      <c r="J13" s="38">
        <v>2976</v>
      </c>
      <c r="K13" s="96">
        <v>14.8</v>
      </c>
      <c r="L13" s="96">
        <v>9.2</v>
      </c>
      <c r="M13" s="38">
        <v>180</v>
      </c>
      <c r="N13" s="94"/>
      <c r="O13" s="38">
        <v>38</v>
      </c>
      <c r="P13" s="97"/>
      <c r="Q13" s="97" t="s">
        <v>40</v>
      </c>
    </row>
    <row r="14" s="87" customFormat="1" ht="14.25" customHeight="1" spans="1:17">
      <c r="A14" s="87">
        <v>42</v>
      </c>
      <c r="B14" s="87" t="str">
        <f t="shared" si="0"/>
        <v>170510</v>
      </c>
      <c r="C14" s="94" t="s">
        <v>17</v>
      </c>
      <c r="D14" s="38">
        <v>170510127</v>
      </c>
      <c r="E14" s="38">
        <v>1</v>
      </c>
      <c r="F14" s="38" t="s">
        <v>41</v>
      </c>
      <c r="G14" s="38">
        <v>2</v>
      </c>
      <c r="H14" s="96">
        <v>171.1</v>
      </c>
      <c r="I14" s="96">
        <v>49.3</v>
      </c>
      <c r="J14" s="38">
        <v>3413</v>
      </c>
      <c r="K14" s="96">
        <v>11.3</v>
      </c>
      <c r="L14" s="96">
        <v>9.5</v>
      </c>
      <c r="M14" s="38">
        <v>182</v>
      </c>
      <c r="N14" s="94"/>
      <c r="O14" s="38">
        <v>35</v>
      </c>
      <c r="P14" s="97"/>
      <c r="Q14" s="97" t="s">
        <v>42</v>
      </c>
    </row>
    <row r="15" s="87" customFormat="1" ht="14.25" customHeight="1" spans="1:17">
      <c r="A15" s="87">
        <v>42</v>
      </c>
      <c r="B15" s="87" t="str">
        <f t="shared" si="0"/>
        <v>170510</v>
      </c>
      <c r="C15" s="94" t="s">
        <v>17</v>
      </c>
      <c r="D15" s="38">
        <v>170510128</v>
      </c>
      <c r="E15" s="38">
        <v>1</v>
      </c>
      <c r="F15" s="38" t="s">
        <v>43</v>
      </c>
      <c r="G15" s="38">
        <v>2</v>
      </c>
      <c r="H15" s="96">
        <v>170.3</v>
      </c>
      <c r="I15" s="96">
        <v>58.4</v>
      </c>
      <c r="J15" s="38">
        <v>2449</v>
      </c>
      <c r="K15" s="96">
        <v>23.8</v>
      </c>
      <c r="L15" s="96">
        <v>8.8</v>
      </c>
      <c r="M15" s="38">
        <v>165</v>
      </c>
      <c r="N15" s="94"/>
      <c r="O15" s="38">
        <v>34</v>
      </c>
      <c r="P15" s="97"/>
      <c r="Q15" s="97" t="s">
        <v>44</v>
      </c>
    </row>
    <row r="16" s="87" customFormat="1" ht="14.25" customHeight="1" spans="1:17">
      <c r="A16" s="87">
        <v>42</v>
      </c>
      <c r="B16" s="87" t="str">
        <f t="shared" si="0"/>
        <v>170510</v>
      </c>
      <c r="C16" s="94" t="s">
        <v>17</v>
      </c>
      <c r="D16" s="38">
        <v>170510129</v>
      </c>
      <c r="E16" s="38">
        <v>1</v>
      </c>
      <c r="F16" s="38" t="s">
        <v>45</v>
      </c>
      <c r="G16" s="38">
        <v>2</v>
      </c>
      <c r="H16" s="96">
        <v>162.3</v>
      </c>
      <c r="I16" s="96">
        <v>44.1</v>
      </c>
      <c r="J16" s="38">
        <v>3410</v>
      </c>
      <c r="K16" s="96">
        <v>13</v>
      </c>
      <c r="L16" s="96">
        <v>8.9</v>
      </c>
      <c r="M16" s="38">
        <v>180</v>
      </c>
      <c r="N16" s="94"/>
      <c r="O16" s="38">
        <v>42</v>
      </c>
      <c r="P16" s="97"/>
      <c r="Q16" s="97" t="s">
        <v>31</v>
      </c>
    </row>
    <row r="17" s="87" customFormat="1" ht="14.25" customHeight="1" spans="1:17">
      <c r="A17" s="87">
        <v>42</v>
      </c>
      <c r="B17" s="87" t="str">
        <f t="shared" si="0"/>
        <v>170510</v>
      </c>
      <c r="C17" s="94" t="s">
        <v>17</v>
      </c>
      <c r="D17" s="38">
        <v>170510130</v>
      </c>
      <c r="E17" s="38">
        <v>1</v>
      </c>
      <c r="F17" s="38" t="s">
        <v>46</v>
      </c>
      <c r="G17" s="38">
        <v>2</v>
      </c>
      <c r="H17" s="96">
        <v>163</v>
      </c>
      <c r="I17" s="96">
        <v>60</v>
      </c>
      <c r="J17" s="38">
        <v>2745</v>
      </c>
      <c r="K17" s="96">
        <v>22.1</v>
      </c>
      <c r="L17" s="96">
        <v>8.7</v>
      </c>
      <c r="M17" s="38">
        <v>140</v>
      </c>
      <c r="N17" s="94"/>
      <c r="O17" s="38">
        <v>46</v>
      </c>
      <c r="P17" s="97"/>
      <c r="Q17" s="97" t="s">
        <v>47</v>
      </c>
    </row>
    <row r="18" s="87" customFormat="1" ht="14.25" customHeight="1" spans="1:17">
      <c r="A18" s="87">
        <v>42</v>
      </c>
      <c r="B18" s="87" t="str">
        <f t="shared" si="0"/>
        <v>170510</v>
      </c>
      <c r="C18" s="94" t="s">
        <v>17</v>
      </c>
      <c r="D18" s="38">
        <v>170510131</v>
      </c>
      <c r="E18" s="38">
        <v>1</v>
      </c>
      <c r="F18" s="38" t="s">
        <v>48</v>
      </c>
      <c r="G18" s="38">
        <v>2</v>
      </c>
      <c r="H18" s="96">
        <v>165.2</v>
      </c>
      <c r="I18" s="96">
        <v>52</v>
      </c>
      <c r="J18" s="38">
        <v>3668</v>
      </c>
      <c r="K18" s="96">
        <v>12.5</v>
      </c>
      <c r="L18" s="96">
        <v>9.2</v>
      </c>
      <c r="M18" s="38">
        <v>150</v>
      </c>
      <c r="N18" s="94"/>
      <c r="O18" s="38">
        <v>30</v>
      </c>
      <c r="P18" s="97"/>
      <c r="Q18" s="97" t="s">
        <v>49</v>
      </c>
    </row>
    <row r="19" s="87" customFormat="1" ht="14.25" customHeight="1" spans="1:17">
      <c r="A19" s="87">
        <v>42</v>
      </c>
      <c r="B19" s="87" t="str">
        <f t="shared" si="0"/>
        <v>170510</v>
      </c>
      <c r="C19" s="94" t="s">
        <v>17</v>
      </c>
      <c r="D19" s="38">
        <v>170510132</v>
      </c>
      <c r="E19" s="38">
        <v>1</v>
      </c>
      <c r="F19" s="38" t="s">
        <v>50</v>
      </c>
      <c r="G19" s="38">
        <v>1</v>
      </c>
      <c r="H19" s="96">
        <v>176</v>
      </c>
      <c r="I19" s="96">
        <v>53</v>
      </c>
      <c r="J19" s="38">
        <v>3576</v>
      </c>
      <c r="K19" s="96">
        <v>18.3</v>
      </c>
      <c r="L19" s="96">
        <v>7.3</v>
      </c>
      <c r="M19" s="38">
        <v>225</v>
      </c>
      <c r="N19" s="38">
        <v>3</v>
      </c>
      <c r="O19" s="94"/>
      <c r="P19" s="97"/>
      <c r="Q19" s="97" t="s">
        <v>51</v>
      </c>
    </row>
    <row r="20" s="87" customFormat="1" ht="14.25" customHeight="1" spans="1:17">
      <c r="A20" s="87">
        <v>42</v>
      </c>
      <c r="B20" s="87" t="str">
        <f t="shared" si="0"/>
        <v>170510</v>
      </c>
      <c r="C20" s="94" t="s">
        <v>17</v>
      </c>
      <c r="D20" s="38">
        <v>170510133</v>
      </c>
      <c r="E20" s="38">
        <v>1</v>
      </c>
      <c r="F20" s="38" t="s">
        <v>52</v>
      </c>
      <c r="G20" s="38">
        <v>1</v>
      </c>
      <c r="H20" s="96">
        <v>177.1</v>
      </c>
      <c r="I20" s="96">
        <v>65</v>
      </c>
      <c r="J20" s="38">
        <v>3984</v>
      </c>
      <c r="K20" s="96">
        <v>13.9</v>
      </c>
      <c r="L20" s="96">
        <v>7.9</v>
      </c>
      <c r="M20" s="38">
        <v>205</v>
      </c>
      <c r="N20" s="38">
        <v>4</v>
      </c>
      <c r="O20" s="94"/>
      <c r="P20" s="97"/>
      <c r="Q20" s="97" t="s">
        <v>53</v>
      </c>
    </row>
    <row r="21" s="87" customFormat="1" ht="14.25" customHeight="1" spans="1:17">
      <c r="A21" s="87">
        <v>42</v>
      </c>
      <c r="B21" s="87" t="str">
        <f t="shared" si="0"/>
        <v>170510</v>
      </c>
      <c r="C21" s="94" t="s">
        <v>17</v>
      </c>
      <c r="D21" s="38">
        <v>170510134</v>
      </c>
      <c r="E21" s="38">
        <v>1</v>
      </c>
      <c r="F21" s="38" t="s">
        <v>54</v>
      </c>
      <c r="G21" s="38">
        <v>1</v>
      </c>
      <c r="H21" s="96">
        <v>184</v>
      </c>
      <c r="I21" s="96">
        <v>58</v>
      </c>
      <c r="J21" s="38">
        <v>3930</v>
      </c>
      <c r="K21" s="96">
        <v>16.4</v>
      </c>
      <c r="L21" s="96">
        <v>8.3</v>
      </c>
      <c r="M21" s="38">
        <v>220</v>
      </c>
      <c r="N21" s="38">
        <v>3</v>
      </c>
      <c r="O21" s="94"/>
      <c r="P21" s="97"/>
      <c r="Q21" s="97" t="s">
        <v>55</v>
      </c>
    </row>
    <row r="22" s="87" customFormat="1" ht="14.25" customHeight="1" spans="1:17">
      <c r="A22" s="87">
        <v>42</v>
      </c>
      <c r="B22" s="87" t="str">
        <f t="shared" si="0"/>
        <v>170510</v>
      </c>
      <c r="C22" s="94" t="s">
        <v>17</v>
      </c>
      <c r="D22" s="38">
        <v>170510135</v>
      </c>
      <c r="E22" s="38">
        <v>1</v>
      </c>
      <c r="F22" s="38" t="s">
        <v>56</v>
      </c>
      <c r="G22" s="38">
        <v>1</v>
      </c>
      <c r="H22" s="96">
        <v>173</v>
      </c>
      <c r="I22" s="96">
        <v>65.7</v>
      </c>
      <c r="J22" s="38">
        <v>4620</v>
      </c>
      <c r="K22" s="96">
        <v>15</v>
      </c>
      <c r="L22" s="96">
        <v>7.5</v>
      </c>
      <c r="M22" s="38">
        <v>210</v>
      </c>
      <c r="N22" s="38">
        <v>2</v>
      </c>
      <c r="O22" s="94"/>
      <c r="P22" s="97"/>
      <c r="Q22" s="97" t="s">
        <v>57</v>
      </c>
    </row>
    <row r="23" s="87" customFormat="1" ht="14.25" customHeight="1" spans="1:17">
      <c r="A23" s="87">
        <v>42</v>
      </c>
      <c r="B23" s="87" t="str">
        <f t="shared" si="0"/>
        <v>170510</v>
      </c>
      <c r="C23" s="94" t="s">
        <v>17</v>
      </c>
      <c r="D23" s="38">
        <v>170510136</v>
      </c>
      <c r="E23" s="38">
        <v>1</v>
      </c>
      <c r="F23" s="38" t="s">
        <v>58</v>
      </c>
      <c r="G23" s="38">
        <v>1</v>
      </c>
      <c r="H23" s="96">
        <v>173.8</v>
      </c>
      <c r="I23" s="96">
        <v>70</v>
      </c>
      <c r="J23" s="38">
        <v>2406</v>
      </c>
      <c r="K23" s="96">
        <v>16</v>
      </c>
      <c r="L23" s="96">
        <v>6.9</v>
      </c>
      <c r="M23" s="38">
        <v>215</v>
      </c>
      <c r="N23" s="38">
        <v>14</v>
      </c>
      <c r="O23" s="94"/>
      <c r="P23" s="97"/>
      <c r="Q23" s="97" t="s">
        <v>27</v>
      </c>
    </row>
    <row r="24" s="87" customFormat="1" ht="14.25" customHeight="1" spans="1:17">
      <c r="A24" s="87">
        <v>42</v>
      </c>
      <c r="B24" s="87" t="str">
        <f t="shared" si="0"/>
        <v>170510</v>
      </c>
      <c r="C24" s="94" t="s">
        <v>17</v>
      </c>
      <c r="D24" s="38">
        <v>170510138</v>
      </c>
      <c r="E24" s="38">
        <v>1</v>
      </c>
      <c r="F24" s="38" t="s">
        <v>59</v>
      </c>
      <c r="G24" s="38">
        <v>2</v>
      </c>
      <c r="H24" s="96">
        <v>167</v>
      </c>
      <c r="I24" s="96">
        <v>47</v>
      </c>
      <c r="J24" s="38">
        <v>3098</v>
      </c>
      <c r="K24" s="96">
        <v>20.3</v>
      </c>
      <c r="L24" s="96">
        <v>9.2</v>
      </c>
      <c r="M24" s="38">
        <v>172</v>
      </c>
      <c r="N24" s="94"/>
      <c r="O24" s="38">
        <v>35</v>
      </c>
      <c r="P24" s="97"/>
      <c r="Q24" s="97" t="s">
        <v>60</v>
      </c>
    </row>
    <row r="25" s="87" customFormat="1" ht="14.25" customHeight="1" spans="1:17">
      <c r="A25" s="87">
        <v>42</v>
      </c>
      <c r="B25" s="87" t="str">
        <f t="shared" si="0"/>
        <v>170510</v>
      </c>
      <c r="C25" s="94" t="s">
        <v>17</v>
      </c>
      <c r="D25" s="38">
        <v>170510140</v>
      </c>
      <c r="E25" s="38">
        <v>1</v>
      </c>
      <c r="F25" s="38" t="s">
        <v>61</v>
      </c>
      <c r="G25" s="38">
        <v>2</v>
      </c>
      <c r="H25" s="96">
        <v>163.5</v>
      </c>
      <c r="I25" s="96">
        <v>43</v>
      </c>
      <c r="J25" s="38">
        <v>2596</v>
      </c>
      <c r="K25" s="96">
        <v>20.3</v>
      </c>
      <c r="L25" s="96">
        <v>9.1</v>
      </c>
      <c r="M25" s="38">
        <v>155</v>
      </c>
      <c r="N25" s="94"/>
      <c r="O25" s="38">
        <v>37</v>
      </c>
      <c r="P25" s="97"/>
      <c r="Q25" s="97" t="s">
        <v>62</v>
      </c>
    </row>
    <row r="26" s="87" customFormat="1" ht="14.25" customHeight="1" spans="1:17">
      <c r="A26" s="87">
        <v>42</v>
      </c>
      <c r="B26" s="87" t="str">
        <f t="shared" si="0"/>
        <v>170510</v>
      </c>
      <c r="C26" s="94" t="s">
        <v>17</v>
      </c>
      <c r="D26" s="38">
        <v>170510101</v>
      </c>
      <c r="E26" s="38">
        <v>1</v>
      </c>
      <c r="F26" s="38" t="s">
        <v>63</v>
      </c>
      <c r="G26" s="38">
        <v>2</v>
      </c>
      <c r="H26" s="96">
        <v>160</v>
      </c>
      <c r="I26" s="96">
        <v>53</v>
      </c>
      <c r="J26" s="38">
        <v>2563</v>
      </c>
      <c r="K26" s="96">
        <v>27.2</v>
      </c>
      <c r="L26" s="96">
        <v>8.2</v>
      </c>
      <c r="M26" s="38">
        <v>180</v>
      </c>
      <c r="N26" s="94"/>
      <c r="O26" s="38">
        <v>53</v>
      </c>
      <c r="P26" s="97"/>
      <c r="Q26" s="97" t="s">
        <v>64</v>
      </c>
    </row>
    <row r="27" s="87" customFormat="1" ht="14.25" customHeight="1" spans="1:17">
      <c r="A27" s="87">
        <v>42</v>
      </c>
      <c r="B27" s="87" t="str">
        <f t="shared" si="0"/>
        <v>170510</v>
      </c>
      <c r="C27" s="94" t="s">
        <v>17</v>
      </c>
      <c r="D27" s="38">
        <v>170510102</v>
      </c>
      <c r="E27" s="38">
        <v>1</v>
      </c>
      <c r="F27" s="38" t="s">
        <v>65</v>
      </c>
      <c r="G27" s="38">
        <v>2</v>
      </c>
      <c r="H27" s="96">
        <v>165.7</v>
      </c>
      <c r="I27" s="96">
        <v>52.7</v>
      </c>
      <c r="J27" s="38">
        <v>3708</v>
      </c>
      <c r="K27" s="96">
        <v>19.7</v>
      </c>
      <c r="L27" s="96">
        <v>9.7</v>
      </c>
      <c r="M27" s="38">
        <v>160</v>
      </c>
      <c r="N27" s="94"/>
      <c r="O27" s="38">
        <v>47</v>
      </c>
      <c r="P27" s="97"/>
      <c r="Q27" s="97" t="s">
        <v>31</v>
      </c>
    </row>
    <row r="28" s="87" customFormat="1" ht="14.25" customHeight="1" spans="1:17">
      <c r="A28" s="87">
        <v>42</v>
      </c>
      <c r="B28" s="87" t="str">
        <f t="shared" si="0"/>
        <v>170510</v>
      </c>
      <c r="C28" s="94" t="s">
        <v>17</v>
      </c>
      <c r="D28" s="38">
        <v>170510103</v>
      </c>
      <c r="E28" s="38">
        <v>1</v>
      </c>
      <c r="F28" s="38" t="s">
        <v>66</v>
      </c>
      <c r="G28" s="38">
        <v>2</v>
      </c>
      <c r="H28" s="96">
        <v>173</v>
      </c>
      <c r="I28" s="96">
        <v>52.4</v>
      </c>
      <c r="J28" s="38">
        <v>3277</v>
      </c>
      <c r="K28" s="96">
        <v>20.4</v>
      </c>
      <c r="L28" s="96">
        <v>8.7</v>
      </c>
      <c r="M28" s="38">
        <v>175</v>
      </c>
      <c r="N28" s="94"/>
      <c r="O28" s="38">
        <v>31</v>
      </c>
      <c r="P28" s="97"/>
      <c r="Q28" s="97" t="s">
        <v>67</v>
      </c>
    </row>
    <row r="29" s="87" customFormat="1" ht="14.25" customHeight="1" spans="1:17">
      <c r="A29" s="87">
        <v>42</v>
      </c>
      <c r="B29" s="87" t="str">
        <f t="shared" si="0"/>
        <v>170510</v>
      </c>
      <c r="C29" s="94" t="s">
        <v>17</v>
      </c>
      <c r="D29" s="38">
        <v>170510104</v>
      </c>
      <c r="E29" s="38">
        <v>1</v>
      </c>
      <c r="F29" s="38" t="s">
        <v>68</v>
      </c>
      <c r="G29" s="38">
        <v>2</v>
      </c>
      <c r="H29" s="96">
        <v>162.3</v>
      </c>
      <c r="I29" s="96">
        <v>41.5</v>
      </c>
      <c r="J29" s="38">
        <v>2216</v>
      </c>
      <c r="K29" s="96">
        <v>20.2</v>
      </c>
      <c r="L29" s="96">
        <v>10.1</v>
      </c>
      <c r="M29" s="38">
        <v>145</v>
      </c>
      <c r="N29" s="94"/>
      <c r="O29" s="38">
        <v>45</v>
      </c>
      <c r="P29" s="97"/>
      <c r="Q29" s="97" t="s">
        <v>69</v>
      </c>
    </row>
    <row r="30" s="87" customFormat="1" ht="14.25" customHeight="1" spans="1:17">
      <c r="A30" s="87">
        <v>42</v>
      </c>
      <c r="B30" s="87" t="str">
        <f t="shared" si="0"/>
        <v>170510</v>
      </c>
      <c r="C30" s="94" t="s">
        <v>17</v>
      </c>
      <c r="D30" s="38">
        <v>170510105</v>
      </c>
      <c r="E30" s="38">
        <v>1</v>
      </c>
      <c r="F30" s="38" t="s">
        <v>70</v>
      </c>
      <c r="G30" s="38">
        <v>2</v>
      </c>
      <c r="H30" s="96">
        <v>168</v>
      </c>
      <c r="I30" s="96">
        <v>55</v>
      </c>
      <c r="J30" s="38">
        <v>2660</v>
      </c>
      <c r="K30" s="96">
        <v>22.5</v>
      </c>
      <c r="L30" s="96">
        <v>10.1</v>
      </c>
      <c r="M30" s="38">
        <v>160</v>
      </c>
      <c r="N30" s="94"/>
      <c r="O30" s="38">
        <v>30</v>
      </c>
      <c r="P30" s="97"/>
      <c r="Q30" s="97" t="s">
        <v>71</v>
      </c>
    </row>
    <row r="31" s="87" customFormat="1" ht="14.25" customHeight="1" spans="1:17">
      <c r="A31" s="87">
        <v>42</v>
      </c>
      <c r="B31" s="87" t="str">
        <f t="shared" si="0"/>
        <v>170510</v>
      </c>
      <c r="C31" s="94" t="s">
        <v>17</v>
      </c>
      <c r="D31" s="38">
        <v>170510106</v>
      </c>
      <c r="E31" s="38">
        <v>1</v>
      </c>
      <c r="F31" s="38" t="s">
        <v>72</v>
      </c>
      <c r="G31" s="38">
        <v>2</v>
      </c>
      <c r="H31" s="96">
        <v>165.4</v>
      </c>
      <c r="I31" s="96">
        <v>49</v>
      </c>
      <c r="J31" s="38">
        <v>2980</v>
      </c>
      <c r="K31" s="96">
        <v>18.4</v>
      </c>
      <c r="L31" s="96">
        <v>8.1</v>
      </c>
      <c r="M31" s="38">
        <v>181</v>
      </c>
      <c r="N31" s="94"/>
      <c r="O31" s="38">
        <v>45</v>
      </c>
      <c r="P31" s="97"/>
      <c r="Q31" s="97" t="s">
        <v>73</v>
      </c>
    </row>
    <row r="32" s="87" customFormat="1" ht="14.25" customHeight="1" spans="1:17">
      <c r="A32" s="87">
        <v>42</v>
      </c>
      <c r="B32" s="87" t="str">
        <f t="shared" si="0"/>
        <v>170510</v>
      </c>
      <c r="C32" s="94" t="s">
        <v>17</v>
      </c>
      <c r="D32" s="38">
        <v>170510107</v>
      </c>
      <c r="E32" s="38">
        <v>1</v>
      </c>
      <c r="F32" s="38" t="s">
        <v>74</v>
      </c>
      <c r="G32" s="38">
        <v>2</v>
      </c>
      <c r="H32" s="96">
        <v>168</v>
      </c>
      <c r="I32" s="96">
        <v>49.6</v>
      </c>
      <c r="J32" s="38">
        <v>2863</v>
      </c>
      <c r="K32" s="96">
        <v>14.2</v>
      </c>
      <c r="L32" s="96">
        <v>9.1</v>
      </c>
      <c r="M32" s="38">
        <v>155</v>
      </c>
      <c r="N32" s="94"/>
      <c r="O32" s="38">
        <v>31</v>
      </c>
      <c r="P32" s="97"/>
      <c r="Q32" s="97" t="s">
        <v>75</v>
      </c>
    </row>
    <row r="33" s="87" customFormat="1" ht="14.25" customHeight="1" spans="1:17">
      <c r="A33" s="87">
        <v>42</v>
      </c>
      <c r="B33" s="87" t="str">
        <f t="shared" si="0"/>
        <v>170510</v>
      </c>
      <c r="C33" s="94" t="s">
        <v>17</v>
      </c>
      <c r="D33" s="38">
        <v>170510108</v>
      </c>
      <c r="E33" s="38">
        <v>1</v>
      </c>
      <c r="F33" s="38" t="s">
        <v>76</v>
      </c>
      <c r="G33" s="38">
        <v>2</v>
      </c>
      <c r="H33" s="96">
        <v>156.5</v>
      </c>
      <c r="I33" s="96">
        <v>67</v>
      </c>
      <c r="J33" s="38">
        <v>3862</v>
      </c>
      <c r="K33" s="96">
        <v>14.5</v>
      </c>
      <c r="L33" s="96">
        <v>9.6</v>
      </c>
      <c r="M33" s="38">
        <v>150</v>
      </c>
      <c r="N33" s="94"/>
      <c r="O33" s="38">
        <v>40</v>
      </c>
      <c r="P33" s="97"/>
      <c r="Q33" s="97" t="s">
        <v>77</v>
      </c>
    </row>
    <row r="34" s="87" customFormat="1" ht="14.25" customHeight="1" spans="1:17">
      <c r="A34" s="87">
        <v>42</v>
      </c>
      <c r="B34" s="87" t="str">
        <f t="shared" si="0"/>
        <v>170510</v>
      </c>
      <c r="C34" s="94" t="s">
        <v>17</v>
      </c>
      <c r="D34" s="38">
        <v>170510109</v>
      </c>
      <c r="E34" s="38">
        <v>1</v>
      </c>
      <c r="F34" s="38" t="s">
        <v>78</v>
      </c>
      <c r="G34" s="38">
        <v>2</v>
      </c>
      <c r="H34" s="96">
        <v>163.2</v>
      </c>
      <c r="I34" s="96">
        <v>48.4</v>
      </c>
      <c r="J34" s="38">
        <v>3864</v>
      </c>
      <c r="K34" s="96">
        <v>17.2</v>
      </c>
      <c r="L34" s="96">
        <v>10.1</v>
      </c>
      <c r="M34" s="38">
        <v>143</v>
      </c>
      <c r="N34" s="94"/>
      <c r="O34" s="38">
        <v>45</v>
      </c>
      <c r="P34" s="97"/>
      <c r="Q34" s="97" t="s">
        <v>79</v>
      </c>
    </row>
    <row r="35" s="87" customFormat="1" ht="14.25" customHeight="1" spans="1:17">
      <c r="A35" s="87">
        <v>42</v>
      </c>
      <c r="B35" s="87" t="str">
        <f t="shared" si="0"/>
        <v>170510</v>
      </c>
      <c r="C35" s="94" t="s">
        <v>17</v>
      </c>
      <c r="D35" s="38">
        <v>170510110</v>
      </c>
      <c r="E35" s="38">
        <v>1</v>
      </c>
      <c r="F35" s="38" t="s">
        <v>80</v>
      </c>
      <c r="G35" s="38">
        <v>2</v>
      </c>
      <c r="H35" s="96">
        <v>168</v>
      </c>
      <c r="I35" s="96">
        <v>54.6</v>
      </c>
      <c r="J35" s="38">
        <v>2460</v>
      </c>
      <c r="K35" s="96">
        <v>20</v>
      </c>
      <c r="L35" s="96">
        <v>8.7</v>
      </c>
      <c r="M35" s="38">
        <v>170</v>
      </c>
      <c r="N35" s="94"/>
      <c r="O35" s="38">
        <v>40</v>
      </c>
      <c r="P35" s="97"/>
      <c r="Q35" s="97" t="s">
        <v>81</v>
      </c>
    </row>
    <row r="36" s="87" customFormat="1" ht="14.25" customHeight="1" spans="1:17">
      <c r="A36" s="87">
        <v>42</v>
      </c>
      <c r="B36" s="87" t="str">
        <f t="shared" si="0"/>
        <v>170510</v>
      </c>
      <c r="C36" s="94" t="s">
        <v>17</v>
      </c>
      <c r="D36" s="38">
        <v>170510111</v>
      </c>
      <c r="E36" s="38">
        <v>1</v>
      </c>
      <c r="F36" s="38" t="s">
        <v>82</v>
      </c>
      <c r="G36" s="38">
        <v>2</v>
      </c>
      <c r="H36" s="96">
        <v>166</v>
      </c>
      <c r="I36" s="96">
        <v>53</v>
      </c>
      <c r="J36" s="38">
        <v>2373</v>
      </c>
      <c r="K36" s="96">
        <v>13.4</v>
      </c>
      <c r="L36" s="96">
        <v>10.1</v>
      </c>
      <c r="M36" s="38">
        <v>140</v>
      </c>
      <c r="N36" s="94"/>
      <c r="O36" s="38">
        <v>33</v>
      </c>
      <c r="P36" s="97"/>
      <c r="Q36" s="97" t="s">
        <v>83</v>
      </c>
    </row>
    <row r="37" s="87" customFormat="1" ht="14.25" customHeight="1" spans="1:17">
      <c r="A37" s="87">
        <v>42</v>
      </c>
      <c r="B37" s="87" t="str">
        <f t="shared" si="0"/>
        <v>170510</v>
      </c>
      <c r="C37" s="94" t="s">
        <v>17</v>
      </c>
      <c r="D37" s="38">
        <v>170510113</v>
      </c>
      <c r="E37" s="38">
        <v>1</v>
      </c>
      <c r="F37" s="38" t="s">
        <v>84</v>
      </c>
      <c r="G37" s="38">
        <v>2</v>
      </c>
      <c r="H37" s="96">
        <v>164</v>
      </c>
      <c r="I37" s="96">
        <v>56.7</v>
      </c>
      <c r="J37" s="38">
        <v>2725</v>
      </c>
      <c r="K37" s="96">
        <v>1.9</v>
      </c>
      <c r="L37" s="96">
        <v>9.5</v>
      </c>
      <c r="M37" s="38">
        <v>162</v>
      </c>
      <c r="N37" s="94"/>
      <c r="O37" s="38">
        <v>30</v>
      </c>
      <c r="P37" s="97"/>
      <c r="Q37" s="97" t="s">
        <v>85</v>
      </c>
    </row>
    <row r="38" ht="14.25" customHeight="1" spans="1:17">
      <c r="A38" s="87">
        <v>42</v>
      </c>
      <c r="B38" s="87" t="str">
        <f t="shared" si="0"/>
        <v>170510</v>
      </c>
      <c r="C38" s="94" t="s">
        <v>86</v>
      </c>
      <c r="D38" s="38">
        <v>170510201</v>
      </c>
      <c r="E38" s="38">
        <v>1</v>
      </c>
      <c r="F38" s="38" t="s">
        <v>87</v>
      </c>
      <c r="G38" s="38">
        <v>2</v>
      </c>
      <c r="H38" s="96">
        <v>163.2</v>
      </c>
      <c r="I38" s="96">
        <v>49</v>
      </c>
      <c r="J38" s="38">
        <v>2438</v>
      </c>
      <c r="K38" s="96">
        <v>7</v>
      </c>
      <c r="L38" s="96">
        <v>9.9</v>
      </c>
      <c r="M38" s="38">
        <v>151</v>
      </c>
      <c r="N38" s="94"/>
      <c r="O38" s="38">
        <v>43</v>
      </c>
      <c r="P38" s="97"/>
      <c r="Q38" s="97" t="s">
        <v>44</v>
      </c>
    </row>
    <row r="39" ht="14.25" customHeight="1" spans="1:17">
      <c r="A39" s="87">
        <v>42</v>
      </c>
      <c r="B39" s="87" t="str">
        <f t="shared" si="0"/>
        <v>170510</v>
      </c>
      <c r="C39" s="94" t="s">
        <v>86</v>
      </c>
      <c r="D39" s="38">
        <v>170510202</v>
      </c>
      <c r="E39" s="38">
        <v>1</v>
      </c>
      <c r="F39" s="38" t="s">
        <v>88</v>
      </c>
      <c r="G39" s="38">
        <v>2</v>
      </c>
      <c r="H39" s="96">
        <v>154</v>
      </c>
      <c r="I39" s="96">
        <v>63.2</v>
      </c>
      <c r="J39" s="38">
        <v>2000</v>
      </c>
      <c r="K39" s="96">
        <v>13.1</v>
      </c>
      <c r="L39" s="96">
        <v>9.8</v>
      </c>
      <c r="M39" s="38">
        <v>152</v>
      </c>
      <c r="N39" s="94"/>
      <c r="O39" s="38">
        <v>43</v>
      </c>
      <c r="P39" s="97"/>
      <c r="Q39" s="97" t="s">
        <v>85</v>
      </c>
    </row>
    <row r="40" ht="14.25" customHeight="1" spans="1:17">
      <c r="A40" s="87">
        <v>42</v>
      </c>
      <c r="B40" s="87" t="str">
        <f t="shared" si="0"/>
        <v>170510</v>
      </c>
      <c r="C40" s="94" t="s">
        <v>86</v>
      </c>
      <c r="D40" s="38">
        <v>170510203</v>
      </c>
      <c r="E40" s="38">
        <v>1</v>
      </c>
      <c r="F40" s="38" t="s">
        <v>89</v>
      </c>
      <c r="G40" s="38">
        <v>2</v>
      </c>
      <c r="H40" s="96">
        <v>168.9</v>
      </c>
      <c r="I40" s="96">
        <v>48</v>
      </c>
      <c r="J40" s="38">
        <v>2100</v>
      </c>
      <c r="K40" s="96">
        <v>16.9</v>
      </c>
      <c r="L40" s="96">
        <v>9.9</v>
      </c>
      <c r="M40" s="38">
        <v>141</v>
      </c>
      <c r="N40" s="94"/>
      <c r="O40" s="38">
        <v>44</v>
      </c>
      <c r="P40" s="97"/>
      <c r="Q40" s="97" t="s">
        <v>33</v>
      </c>
    </row>
    <row r="41" ht="14.25" customHeight="1" spans="1:17">
      <c r="A41" s="87">
        <v>42</v>
      </c>
      <c r="B41" s="87" t="str">
        <f t="shared" si="0"/>
        <v>170510</v>
      </c>
      <c r="C41" s="94" t="s">
        <v>86</v>
      </c>
      <c r="D41" s="38">
        <v>170510204</v>
      </c>
      <c r="E41" s="38">
        <v>1</v>
      </c>
      <c r="F41" s="38" t="s">
        <v>90</v>
      </c>
      <c r="G41" s="38">
        <v>2</v>
      </c>
      <c r="H41" s="96">
        <v>165</v>
      </c>
      <c r="I41" s="96">
        <v>52.2</v>
      </c>
      <c r="J41" s="38">
        <v>3106</v>
      </c>
      <c r="K41" s="96">
        <v>17.9</v>
      </c>
      <c r="L41" s="96">
        <v>9.8</v>
      </c>
      <c r="M41" s="38">
        <v>184</v>
      </c>
      <c r="N41" s="94"/>
      <c r="O41" s="38">
        <v>42</v>
      </c>
      <c r="P41" s="97"/>
      <c r="Q41" s="97" t="s">
        <v>31</v>
      </c>
    </row>
    <row r="42" ht="14.25" customHeight="1" spans="1:17">
      <c r="A42" s="87">
        <v>42</v>
      </c>
      <c r="B42" s="87" t="str">
        <f t="shared" si="0"/>
        <v>170510</v>
      </c>
      <c r="C42" s="94" t="s">
        <v>86</v>
      </c>
      <c r="D42" s="38">
        <v>170510206</v>
      </c>
      <c r="E42" s="38">
        <v>1</v>
      </c>
      <c r="F42" s="38" t="s">
        <v>91</v>
      </c>
      <c r="G42" s="38">
        <v>2</v>
      </c>
      <c r="H42" s="96">
        <v>158.5</v>
      </c>
      <c r="I42" s="96">
        <v>47</v>
      </c>
      <c r="J42" s="38">
        <v>2798</v>
      </c>
      <c r="K42" s="96">
        <v>23.1</v>
      </c>
      <c r="L42" s="96">
        <v>10</v>
      </c>
      <c r="M42" s="38">
        <v>155</v>
      </c>
      <c r="N42" s="94"/>
      <c r="O42" s="38">
        <v>42</v>
      </c>
      <c r="P42" s="97"/>
      <c r="Q42" s="97" t="s">
        <v>92</v>
      </c>
    </row>
    <row r="43" ht="14.25" customHeight="1" spans="1:17">
      <c r="A43" s="87">
        <v>42</v>
      </c>
      <c r="B43" s="87" t="str">
        <f t="shared" si="0"/>
        <v>170510</v>
      </c>
      <c r="C43" s="94" t="s">
        <v>86</v>
      </c>
      <c r="D43" s="38">
        <v>170510207</v>
      </c>
      <c r="E43" s="38">
        <v>1</v>
      </c>
      <c r="F43" s="38" t="s">
        <v>93</v>
      </c>
      <c r="G43" s="38">
        <v>2</v>
      </c>
      <c r="H43" s="96">
        <v>164</v>
      </c>
      <c r="I43" s="96">
        <v>50.5</v>
      </c>
      <c r="J43" s="38">
        <v>3010</v>
      </c>
      <c r="K43" s="96">
        <v>20.2</v>
      </c>
      <c r="L43" s="96">
        <v>10</v>
      </c>
      <c r="M43" s="38">
        <v>158</v>
      </c>
      <c r="N43" s="94"/>
      <c r="O43" s="38">
        <v>38</v>
      </c>
      <c r="P43" s="97"/>
      <c r="Q43" s="97" t="s">
        <v>94</v>
      </c>
    </row>
    <row r="44" ht="14.25" customHeight="1" spans="1:17">
      <c r="A44" s="87">
        <v>42</v>
      </c>
      <c r="B44" s="87" t="str">
        <f t="shared" si="0"/>
        <v>170510</v>
      </c>
      <c r="C44" s="94" t="s">
        <v>86</v>
      </c>
      <c r="D44" s="38">
        <v>170510208</v>
      </c>
      <c r="E44" s="38">
        <v>1</v>
      </c>
      <c r="F44" s="38" t="s">
        <v>95</v>
      </c>
      <c r="G44" s="38">
        <v>2</v>
      </c>
      <c r="H44" s="96">
        <v>173.4</v>
      </c>
      <c r="I44" s="96">
        <v>66</v>
      </c>
      <c r="J44" s="38">
        <v>3684</v>
      </c>
      <c r="K44" s="96">
        <v>24.7</v>
      </c>
      <c r="L44" s="96">
        <v>9.5</v>
      </c>
      <c r="M44" s="38">
        <v>145</v>
      </c>
      <c r="N44" s="94"/>
      <c r="O44" s="38">
        <v>38</v>
      </c>
      <c r="P44" s="97"/>
      <c r="Q44" s="97" t="s">
        <v>96</v>
      </c>
    </row>
    <row r="45" ht="14.25" customHeight="1" spans="1:17">
      <c r="A45" s="87">
        <v>42</v>
      </c>
      <c r="B45" s="87" t="str">
        <f t="shared" si="0"/>
        <v>170510</v>
      </c>
      <c r="C45" s="94" t="s">
        <v>86</v>
      </c>
      <c r="D45" s="38">
        <v>170510209</v>
      </c>
      <c r="E45" s="38">
        <v>1</v>
      </c>
      <c r="F45" s="38" t="s">
        <v>97</v>
      </c>
      <c r="G45" s="38">
        <v>2</v>
      </c>
      <c r="H45" s="96">
        <v>170</v>
      </c>
      <c r="I45" s="96">
        <v>54.8</v>
      </c>
      <c r="J45" s="38">
        <v>3005</v>
      </c>
      <c r="K45" s="96">
        <v>12</v>
      </c>
      <c r="L45" s="96">
        <v>10</v>
      </c>
      <c r="M45" s="38">
        <v>146</v>
      </c>
      <c r="N45" s="94"/>
      <c r="O45" s="38">
        <v>35</v>
      </c>
      <c r="P45" s="97"/>
      <c r="Q45" s="97" t="s">
        <v>98</v>
      </c>
    </row>
    <row r="46" ht="14.25" customHeight="1" spans="1:17">
      <c r="A46" s="87">
        <v>42</v>
      </c>
      <c r="B46" s="87" t="str">
        <f t="shared" si="0"/>
        <v>170510</v>
      </c>
      <c r="C46" s="94" t="s">
        <v>86</v>
      </c>
      <c r="D46" s="38">
        <v>170510210</v>
      </c>
      <c r="E46" s="38">
        <v>1</v>
      </c>
      <c r="F46" s="38" t="s">
        <v>99</v>
      </c>
      <c r="G46" s="38">
        <v>2</v>
      </c>
      <c r="H46" s="96">
        <v>166.4</v>
      </c>
      <c r="I46" s="96">
        <v>65</v>
      </c>
      <c r="J46" s="38">
        <v>3084</v>
      </c>
      <c r="K46" s="96">
        <v>19.2</v>
      </c>
      <c r="L46" s="96">
        <v>9.5</v>
      </c>
      <c r="M46" s="38">
        <v>148</v>
      </c>
      <c r="N46" s="94"/>
      <c r="O46" s="38">
        <v>32</v>
      </c>
      <c r="P46" s="97"/>
      <c r="Q46" s="97" t="s">
        <v>60</v>
      </c>
    </row>
    <row r="47" ht="14.25" customHeight="1" spans="1:17">
      <c r="A47" s="87">
        <v>42</v>
      </c>
      <c r="B47" s="87" t="str">
        <f t="shared" si="0"/>
        <v>170510</v>
      </c>
      <c r="C47" s="94" t="s">
        <v>86</v>
      </c>
      <c r="D47" s="38">
        <v>170510211</v>
      </c>
      <c r="E47" s="38">
        <v>1</v>
      </c>
      <c r="F47" s="38" t="s">
        <v>100</v>
      </c>
      <c r="G47" s="38">
        <v>2</v>
      </c>
      <c r="H47" s="96">
        <v>162</v>
      </c>
      <c r="I47" s="96">
        <v>47.4</v>
      </c>
      <c r="J47" s="38">
        <v>2863</v>
      </c>
      <c r="K47" s="96">
        <v>19</v>
      </c>
      <c r="L47" s="96">
        <v>9.4</v>
      </c>
      <c r="M47" s="38">
        <v>180</v>
      </c>
      <c r="N47" s="94"/>
      <c r="O47" s="38">
        <v>36</v>
      </c>
      <c r="P47" s="97"/>
      <c r="Q47" s="97" t="s">
        <v>101</v>
      </c>
    </row>
    <row r="48" ht="14.25" customHeight="1" spans="1:17">
      <c r="A48" s="87">
        <v>42</v>
      </c>
      <c r="B48" s="87" t="str">
        <f t="shared" si="0"/>
        <v>170510</v>
      </c>
      <c r="C48" s="94" t="s">
        <v>86</v>
      </c>
      <c r="D48" s="38">
        <v>170510212</v>
      </c>
      <c r="E48" s="38">
        <v>1</v>
      </c>
      <c r="F48" s="38" t="s">
        <v>102</v>
      </c>
      <c r="G48" s="38">
        <v>2</v>
      </c>
      <c r="H48" s="96">
        <v>162</v>
      </c>
      <c r="I48" s="96">
        <v>51.5</v>
      </c>
      <c r="J48" s="38">
        <v>2707</v>
      </c>
      <c r="K48" s="96">
        <v>20.3</v>
      </c>
      <c r="L48" s="96">
        <v>9.4</v>
      </c>
      <c r="M48" s="38">
        <v>178</v>
      </c>
      <c r="N48" s="94"/>
      <c r="O48" s="38">
        <v>46</v>
      </c>
      <c r="P48" s="97"/>
      <c r="Q48" s="97" t="s">
        <v>31</v>
      </c>
    </row>
    <row r="49" ht="14.25" customHeight="1" spans="1:17">
      <c r="A49" s="87">
        <v>42</v>
      </c>
      <c r="B49" s="87" t="str">
        <f t="shared" si="0"/>
        <v>170510</v>
      </c>
      <c r="C49" s="94" t="s">
        <v>86</v>
      </c>
      <c r="D49" s="38">
        <v>170510213</v>
      </c>
      <c r="E49" s="38">
        <v>1</v>
      </c>
      <c r="F49" s="38" t="s">
        <v>103</v>
      </c>
      <c r="G49" s="38">
        <v>2</v>
      </c>
      <c r="H49" s="96">
        <v>162.7</v>
      </c>
      <c r="I49" s="96">
        <v>52</v>
      </c>
      <c r="J49" s="38">
        <v>2721</v>
      </c>
      <c r="K49" s="96">
        <v>18.4</v>
      </c>
      <c r="L49" s="96">
        <v>8.6</v>
      </c>
      <c r="M49" s="38">
        <v>173</v>
      </c>
      <c r="N49" s="94"/>
      <c r="O49" s="38">
        <v>35</v>
      </c>
      <c r="P49" s="97"/>
      <c r="Q49" s="97" t="s">
        <v>104</v>
      </c>
    </row>
    <row r="50" ht="14.25" customHeight="1" spans="1:17">
      <c r="A50" s="87">
        <v>42</v>
      </c>
      <c r="B50" s="87" t="str">
        <f t="shared" si="0"/>
        <v>170510</v>
      </c>
      <c r="C50" s="94" t="s">
        <v>86</v>
      </c>
      <c r="D50" s="38">
        <v>170510214</v>
      </c>
      <c r="E50" s="38">
        <v>1</v>
      </c>
      <c r="F50" s="38" t="s">
        <v>105</v>
      </c>
      <c r="G50" s="38">
        <v>2</v>
      </c>
      <c r="H50" s="96">
        <v>170.2</v>
      </c>
      <c r="I50" s="96">
        <v>52.8</v>
      </c>
      <c r="J50" s="38">
        <v>3750</v>
      </c>
      <c r="K50" s="96">
        <v>19.1</v>
      </c>
      <c r="L50" s="96">
        <v>9.2</v>
      </c>
      <c r="M50" s="38">
        <v>185</v>
      </c>
      <c r="N50" s="94"/>
      <c r="O50" s="38">
        <v>43</v>
      </c>
      <c r="P50" s="97"/>
      <c r="Q50" s="97" t="s">
        <v>106</v>
      </c>
    </row>
    <row r="51" ht="14.25" customHeight="1" spans="1:17">
      <c r="A51" s="87">
        <v>42</v>
      </c>
      <c r="B51" s="87" t="str">
        <f t="shared" si="0"/>
        <v>170510</v>
      </c>
      <c r="C51" s="94" t="s">
        <v>86</v>
      </c>
      <c r="D51" s="38">
        <v>170510215</v>
      </c>
      <c r="E51" s="38">
        <v>1</v>
      </c>
      <c r="F51" s="38" t="s">
        <v>107</v>
      </c>
      <c r="G51" s="38">
        <v>2</v>
      </c>
      <c r="H51" s="96">
        <v>158</v>
      </c>
      <c r="I51" s="96">
        <v>50.2</v>
      </c>
      <c r="J51" s="38">
        <v>2255</v>
      </c>
      <c r="K51" s="96">
        <v>13.5</v>
      </c>
      <c r="L51" s="96">
        <v>10</v>
      </c>
      <c r="M51" s="38">
        <v>154</v>
      </c>
      <c r="N51" s="94"/>
      <c r="O51" s="38">
        <v>29</v>
      </c>
      <c r="P51" s="97"/>
      <c r="Q51" s="97" t="s">
        <v>108</v>
      </c>
    </row>
    <row r="52" ht="14.25" customHeight="1" spans="1:17">
      <c r="A52" s="87">
        <v>42</v>
      </c>
      <c r="B52" s="87" t="str">
        <f t="shared" si="0"/>
        <v>170510</v>
      </c>
      <c r="C52" s="94" t="s">
        <v>86</v>
      </c>
      <c r="D52" s="38">
        <v>170510216</v>
      </c>
      <c r="E52" s="38">
        <v>1</v>
      </c>
      <c r="F52" s="38" t="s">
        <v>109</v>
      </c>
      <c r="G52" s="38">
        <v>2</v>
      </c>
      <c r="H52" s="96">
        <v>163</v>
      </c>
      <c r="I52" s="96">
        <v>56</v>
      </c>
      <c r="J52" s="38">
        <v>2992</v>
      </c>
      <c r="K52" s="96">
        <v>12</v>
      </c>
      <c r="L52" s="96">
        <v>9.4</v>
      </c>
      <c r="M52" s="38">
        <v>146</v>
      </c>
      <c r="N52" s="94"/>
      <c r="O52" s="38">
        <v>41</v>
      </c>
      <c r="P52" s="97"/>
      <c r="Q52" s="97" t="s">
        <v>110</v>
      </c>
    </row>
    <row r="53" ht="14.25" customHeight="1" spans="1:17">
      <c r="A53" s="87">
        <v>42</v>
      </c>
      <c r="B53" s="87" t="str">
        <f t="shared" si="0"/>
        <v>170510</v>
      </c>
      <c r="C53" s="94" t="s">
        <v>86</v>
      </c>
      <c r="D53" s="38">
        <v>170510217</v>
      </c>
      <c r="E53" s="38">
        <v>1</v>
      </c>
      <c r="F53" s="38" t="s">
        <v>111</v>
      </c>
      <c r="G53" s="38">
        <v>2</v>
      </c>
      <c r="H53" s="96">
        <v>161.5</v>
      </c>
      <c r="I53" s="96">
        <v>55.9</v>
      </c>
      <c r="J53" s="38">
        <v>2509</v>
      </c>
      <c r="K53" s="96">
        <v>17</v>
      </c>
      <c r="L53" s="96">
        <v>8.4</v>
      </c>
      <c r="M53" s="38">
        <v>185</v>
      </c>
      <c r="N53" s="94"/>
      <c r="O53" s="38">
        <v>50</v>
      </c>
      <c r="P53" s="97"/>
      <c r="Q53" s="97" t="s">
        <v>23</v>
      </c>
    </row>
    <row r="54" ht="14.25" customHeight="1" spans="1:17">
      <c r="A54" s="87">
        <v>42</v>
      </c>
      <c r="B54" s="87" t="str">
        <f t="shared" si="0"/>
        <v>170510</v>
      </c>
      <c r="C54" s="94" t="s">
        <v>86</v>
      </c>
      <c r="D54" s="38">
        <v>170510218</v>
      </c>
      <c r="E54" s="38">
        <v>1</v>
      </c>
      <c r="F54" s="38" t="s">
        <v>112</v>
      </c>
      <c r="G54" s="38">
        <v>2</v>
      </c>
      <c r="H54" s="96">
        <v>164</v>
      </c>
      <c r="I54" s="96">
        <v>68.5</v>
      </c>
      <c r="J54" s="38">
        <v>2609</v>
      </c>
      <c r="K54" s="96">
        <v>-4.3</v>
      </c>
      <c r="L54" s="96">
        <v>10</v>
      </c>
      <c r="M54" s="38">
        <v>141</v>
      </c>
      <c r="N54" s="94"/>
      <c r="O54" s="38">
        <v>42</v>
      </c>
      <c r="P54" s="97"/>
      <c r="Q54" s="97" t="s">
        <v>113</v>
      </c>
    </row>
    <row r="55" ht="14.25" customHeight="1" spans="1:17">
      <c r="A55" s="87">
        <v>42</v>
      </c>
      <c r="B55" s="87" t="str">
        <f t="shared" si="0"/>
        <v>170510</v>
      </c>
      <c r="C55" s="94" t="s">
        <v>86</v>
      </c>
      <c r="D55" s="38">
        <v>170510219</v>
      </c>
      <c r="E55" s="38">
        <v>1</v>
      </c>
      <c r="F55" s="38" t="s">
        <v>114</v>
      </c>
      <c r="G55" s="38">
        <v>2</v>
      </c>
      <c r="H55" s="96">
        <v>174</v>
      </c>
      <c r="I55" s="96">
        <v>54</v>
      </c>
      <c r="J55" s="38">
        <v>3458</v>
      </c>
      <c r="K55" s="96">
        <v>9.4</v>
      </c>
      <c r="L55" s="96">
        <v>10</v>
      </c>
      <c r="M55" s="38">
        <v>150</v>
      </c>
      <c r="N55" s="94"/>
      <c r="O55" s="38">
        <v>35</v>
      </c>
      <c r="P55" s="97"/>
      <c r="Q55" s="97" t="s">
        <v>79</v>
      </c>
    </row>
    <row r="56" ht="14.25" customHeight="1" spans="1:17">
      <c r="A56" s="87">
        <v>42</v>
      </c>
      <c r="B56" s="87" t="str">
        <f t="shared" si="0"/>
        <v>170510</v>
      </c>
      <c r="C56" s="94" t="s">
        <v>86</v>
      </c>
      <c r="D56" s="38">
        <v>170510220</v>
      </c>
      <c r="E56" s="38">
        <v>1</v>
      </c>
      <c r="F56" s="38" t="s">
        <v>115</v>
      </c>
      <c r="G56" s="38">
        <v>2</v>
      </c>
      <c r="H56" s="96">
        <v>155.2</v>
      </c>
      <c r="I56" s="96">
        <v>50.4</v>
      </c>
      <c r="J56" s="38">
        <v>2502</v>
      </c>
      <c r="K56" s="96">
        <v>15.1</v>
      </c>
      <c r="L56" s="96">
        <v>9.3</v>
      </c>
      <c r="M56" s="38">
        <v>168</v>
      </c>
      <c r="N56" s="94"/>
      <c r="O56" s="38">
        <v>43</v>
      </c>
      <c r="P56" s="97"/>
      <c r="Q56" s="97" t="s">
        <v>116</v>
      </c>
    </row>
    <row r="57" ht="14.25" customHeight="1" spans="1:17">
      <c r="A57" s="87">
        <v>42</v>
      </c>
      <c r="B57" s="87" t="str">
        <f t="shared" si="0"/>
        <v>170510</v>
      </c>
      <c r="C57" s="94" t="s">
        <v>86</v>
      </c>
      <c r="D57" s="38">
        <v>170510221</v>
      </c>
      <c r="E57" s="38">
        <v>1</v>
      </c>
      <c r="F57" s="38" t="s">
        <v>117</v>
      </c>
      <c r="G57" s="38">
        <v>2</v>
      </c>
      <c r="H57" s="96">
        <v>174.8</v>
      </c>
      <c r="I57" s="96">
        <v>54.2</v>
      </c>
      <c r="J57" s="38">
        <v>2666</v>
      </c>
      <c r="K57" s="96">
        <v>11.9</v>
      </c>
      <c r="L57" s="96">
        <v>9.3</v>
      </c>
      <c r="M57" s="38">
        <v>135</v>
      </c>
      <c r="N57" s="94"/>
      <c r="O57" s="38">
        <v>43</v>
      </c>
      <c r="P57" s="97"/>
      <c r="Q57" s="97" t="s">
        <v>118</v>
      </c>
    </row>
    <row r="58" ht="14.25" customHeight="1" spans="1:17">
      <c r="A58" s="87">
        <v>42</v>
      </c>
      <c r="B58" s="87" t="str">
        <f t="shared" si="0"/>
        <v>170510</v>
      </c>
      <c r="C58" s="94" t="s">
        <v>86</v>
      </c>
      <c r="D58" s="38">
        <v>170510222</v>
      </c>
      <c r="E58" s="38">
        <v>1</v>
      </c>
      <c r="F58" s="38" t="s">
        <v>119</v>
      </c>
      <c r="G58" s="38">
        <v>2</v>
      </c>
      <c r="H58" s="96">
        <v>163</v>
      </c>
      <c r="I58" s="96">
        <v>49.8</v>
      </c>
      <c r="J58" s="38">
        <v>2994</v>
      </c>
      <c r="K58" s="96">
        <v>13.6</v>
      </c>
      <c r="L58" s="96">
        <v>9.3</v>
      </c>
      <c r="M58" s="38">
        <v>145</v>
      </c>
      <c r="N58" s="94"/>
      <c r="O58" s="38">
        <v>37</v>
      </c>
      <c r="P58" s="97"/>
      <c r="Q58" s="97" t="s">
        <v>79</v>
      </c>
    </row>
    <row r="59" ht="14.25" customHeight="1" spans="1:17">
      <c r="A59" s="87">
        <v>42</v>
      </c>
      <c r="B59" s="87" t="str">
        <f t="shared" si="0"/>
        <v>170510</v>
      </c>
      <c r="C59" s="94" t="s">
        <v>86</v>
      </c>
      <c r="D59" s="38">
        <v>170510223</v>
      </c>
      <c r="E59" s="38">
        <v>1</v>
      </c>
      <c r="F59" s="38" t="s">
        <v>120</v>
      </c>
      <c r="G59" s="38">
        <v>2</v>
      </c>
      <c r="H59" s="96">
        <v>163</v>
      </c>
      <c r="I59" s="96">
        <v>49</v>
      </c>
      <c r="J59" s="38">
        <v>2243</v>
      </c>
      <c r="K59" s="96">
        <v>5.2</v>
      </c>
      <c r="L59" s="96">
        <v>10</v>
      </c>
      <c r="M59" s="38">
        <v>135</v>
      </c>
      <c r="N59" s="94"/>
      <c r="O59" s="38">
        <v>36</v>
      </c>
      <c r="P59" s="97"/>
      <c r="Q59" s="97" t="s">
        <v>83</v>
      </c>
    </row>
    <row r="60" ht="14.25" customHeight="1" spans="1:17">
      <c r="A60" s="87">
        <v>42</v>
      </c>
      <c r="B60" s="87" t="str">
        <f t="shared" si="0"/>
        <v>170510</v>
      </c>
      <c r="C60" s="94" t="s">
        <v>86</v>
      </c>
      <c r="D60" s="38">
        <v>170510224</v>
      </c>
      <c r="E60" s="38">
        <v>1</v>
      </c>
      <c r="F60" s="38" t="s">
        <v>121</v>
      </c>
      <c r="G60" s="38">
        <v>2</v>
      </c>
      <c r="H60" s="96">
        <v>161.8</v>
      </c>
      <c r="I60" s="96">
        <v>57.7</v>
      </c>
      <c r="J60" s="38">
        <v>3000</v>
      </c>
      <c r="K60" s="96">
        <v>21.6</v>
      </c>
      <c r="L60" s="96">
        <v>9.5</v>
      </c>
      <c r="M60" s="38">
        <v>148</v>
      </c>
      <c r="N60" s="94"/>
      <c r="O60" s="38">
        <v>30</v>
      </c>
      <c r="P60" s="97"/>
      <c r="Q60" s="97" t="s">
        <v>69</v>
      </c>
    </row>
    <row r="61" ht="14.25" customHeight="1" spans="1:17">
      <c r="A61" s="87">
        <v>42</v>
      </c>
      <c r="B61" s="87" t="str">
        <f t="shared" si="0"/>
        <v>170510</v>
      </c>
      <c r="C61" s="94" t="s">
        <v>86</v>
      </c>
      <c r="D61" s="38">
        <v>170510225</v>
      </c>
      <c r="E61" s="38">
        <v>1</v>
      </c>
      <c r="F61" s="38" t="s">
        <v>122</v>
      </c>
      <c r="G61" s="38">
        <v>2</v>
      </c>
      <c r="H61" s="96">
        <v>159</v>
      </c>
      <c r="I61" s="96">
        <v>44.3</v>
      </c>
      <c r="J61" s="38">
        <v>2574</v>
      </c>
      <c r="K61" s="96">
        <v>12.8</v>
      </c>
      <c r="L61" s="96">
        <v>9.7</v>
      </c>
      <c r="M61" s="38">
        <v>130</v>
      </c>
      <c r="N61" s="94"/>
      <c r="O61" s="38">
        <v>38</v>
      </c>
      <c r="P61" s="97"/>
      <c r="Q61" s="97" t="s">
        <v>113</v>
      </c>
    </row>
    <row r="62" ht="14.25" customHeight="1" spans="1:17">
      <c r="A62" s="87">
        <v>42</v>
      </c>
      <c r="B62" s="87" t="str">
        <f t="shared" si="0"/>
        <v>170510</v>
      </c>
      <c r="C62" s="94" t="s">
        <v>86</v>
      </c>
      <c r="D62" s="38">
        <v>170510226</v>
      </c>
      <c r="E62" s="38">
        <v>1</v>
      </c>
      <c r="F62" s="38" t="s">
        <v>123</v>
      </c>
      <c r="G62" s="38">
        <v>2</v>
      </c>
      <c r="H62" s="96">
        <v>175.3</v>
      </c>
      <c r="I62" s="96">
        <v>56</v>
      </c>
      <c r="J62" s="38">
        <v>2835</v>
      </c>
      <c r="K62" s="96">
        <v>16.7</v>
      </c>
      <c r="L62" s="96">
        <v>9.5</v>
      </c>
      <c r="M62" s="38">
        <v>141</v>
      </c>
      <c r="N62" s="94"/>
      <c r="O62" s="38">
        <v>32</v>
      </c>
      <c r="P62" s="97"/>
      <c r="Q62" s="97" t="s">
        <v>124</v>
      </c>
    </row>
    <row r="63" ht="14.25" customHeight="1" spans="1:17">
      <c r="A63" s="87">
        <v>42</v>
      </c>
      <c r="B63" s="87" t="str">
        <f t="shared" si="0"/>
        <v>170510</v>
      </c>
      <c r="C63" s="94" t="s">
        <v>86</v>
      </c>
      <c r="D63" s="38">
        <v>170510227</v>
      </c>
      <c r="E63" s="38">
        <v>1</v>
      </c>
      <c r="F63" s="38" t="s">
        <v>125</v>
      </c>
      <c r="G63" s="38">
        <v>2</v>
      </c>
      <c r="H63" s="96">
        <v>162</v>
      </c>
      <c r="I63" s="96">
        <v>49.5</v>
      </c>
      <c r="J63" s="38">
        <v>2620</v>
      </c>
      <c r="K63" s="96">
        <v>5.1</v>
      </c>
      <c r="L63" s="96">
        <v>10</v>
      </c>
      <c r="M63" s="38">
        <v>150</v>
      </c>
      <c r="N63" s="94"/>
      <c r="O63" s="38">
        <v>45</v>
      </c>
      <c r="P63" s="97"/>
      <c r="Q63" s="97" t="s">
        <v>126</v>
      </c>
    </row>
    <row r="64" ht="14.25" customHeight="1" spans="1:17">
      <c r="A64" s="87">
        <v>42</v>
      </c>
      <c r="B64" s="87" t="str">
        <f t="shared" si="0"/>
        <v>170510</v>
      </c>
      <c r="C64" s="94" t="s">
        <v>86</v>
      </c>
      <c r="D64" s="38">
        <v>170510228</v>
      </c>
      <c r="E64" s="38">
        <v>1</v>
      </c>
      <c r="F64" s="38" t="s">
        <v>127</v>
      </c>
      <c r="G64" s="38">
        <v>2</v>
      </c>
      <c r="H64" s="96">
        <v>166.8</v>
      </c>
      <c r="I64" s="96">
        <v>46.4</v>
      </c>
      <c r="J64" s="38">
        <v>3000</v>
      </c>
      <c r="K64" s="96">
        <v>19.8</v>
      </c>
      <c r="L64" s="96">
        <v>9.5</v>
      </c>
      <c r="M64" s="38">
        <v>141</v>
      </c>
      <c r="N64" s="94"/>
      <c r="O64" s="38">
        <v>45</v>
      </c>
      <c r="P64" s="97"/>
      <c r="Q64" s="97" t="s">
        <v>128</v>
      </c>
    </row>
    <row r="65" ht="14.25" customHeight="1" spans="1:17">
      <c r="A65" s="87">
        <v>42</v>
      </c>
      <c r="B65" s="87" t="str">
        <f t="shared" si="0"/>
        <v>170510</v>
      </c>
      <c r="C65" s="94" t="s">
        <v>86</v>
      </c>
      <c r="D65" s="38">
        <v>170510229</v>
      </c>
      <c r="E65" s="38">
        <v>22</v>
      </c>
      <c r="F65" s="38" t="s">
        <v>129</v>
      </c>
      <c r="G65" s="38">
        <v>2</v>
      </c>
      <c r="H65" s="96">
        <v>162.2</v>
      </c>
      <c r="I65" s="96">
        <v>55.4</v>
      </c>
      <c r="J65" s="38">
        <v>2843</v>
      </c>
      <c r="K65" s="96">
        <v>14.2</v>
      </c>
      <c r="L65" s="96">
        <v>8.5</v>
      </c>
      <c r="M65" s="38">
        <v>168</v>
      </c>
      <c r="N65" s="94"/>
      <c r="O65" s="38">
        <v>42</v>
      </c>
      <c r="P65" s="97"/>
      <c r="Q65" s="97" t="s">
        <v>106</v>
      </c>
    </row>
    <row r="66" ht="14.25" customHeight="1" spans="1:17">
      <c r="A66" s="87">
        <v>42</v>
      </c>
      <c r="B66" s="87" t="str">
        <f t="shared" si="0"/>
        <v>170510</v>
      </c>
      <c r="C66" s="94" t="s">
        <v>86</v>
      </c>
      <c r="D66" s="38">
        <v>170510230</v>
      </c>
      <c r="E66" s="38">
        <v>1</v>
      </c>
      <c r="F66" s="38" t="s">
        <v>130</v>
      </c>
      <c r="G66" s="38">
        <v>2</v>
      </c>
      <c r="H66" s="96">
        <v>164</v>
      </c>
      <c r="I66" s="96">
        <v>48.5</v>
      </c>
      <c r="J66" s="38">
        <v>4494</v>
      </c>
      <c r="K66" s="96">
        <v>19.7</v>
      </c>
      <c r="L66" s="96">
        <v>9.6</v>
      </c>
      <c r="M66" s="38">
        <v>165</v>
      </c>
      <c r="N66" s="94"/>
      <c r="O66" s="38">
        <v>50</v>
      </c>
      <c r="P66" s="97"/>
      <c r="Q66" s="97" t="s">
        <v>64</v>
      </c>
    </row>
    <row r="67" ht="14.25" customHeight="1" spans="1:17">
      <c r="A67" s="87">
        <v>42</v>
      </c>
      <c r="B67" s="87" t="str">
        <f t="shared" ref="B67:B130" si="1">LEFT(D67,6)</f>
        <v>170510</v>
      </c>
      <c r="C67" s="94" t="s">
        <v>86</v>
      </c>
      <c r="D67" s="38">
        <v>170510231</v>
      </c>
      <c r="E67" s="38">
        <v>1</v>
      </c>
      <c r="F67" s="38" t="s">
        <v>131</v>
      </c>
      <c r="G67" s="38">
        <v>2</v>
      </c>
      <c r="H67" s="96">
        <v>164.4</v>
      </c>
      <c r="I67" s="96">
        <v>43.9</v>
      </c>
      <c r="J67" s="38">
        <v>2735</v>
      </c>
      <c r="K67" s="96">
        <v>19</v>
      </c>
      <c r="L67" s="96">
        <v>9.4</v>
      </c>
      <c r="M67" s="38">
        <v>165</v>
      </c>
      <c r="N67" s="94"/>
      <c r="O67" s="38">
        <v>45</v>
      </c>
      <c r="P67" s="97"/>
      <c r="Q67" s="97" t="s">
        <v>40</v>
      </c>
    </row>
    <row r="68" ht="14.25" customHeight="1" spans="1:17">
      <c r="A68" s="87">
        <v>42</v>
      </c>
      <c r="B68" s="87" t="str">
        <f t="shared" si="1"/>
        <v>170510</v>
      </c>
      <c r="C68" s="94" t="s">
        <v>86</v>
      </c>
      <c r="D68" s="38">
        <v>170510232</v>
      </c>
      <c r="E68" s="38">
        <v>1</v>
      </c>
      <c r="F68" s="38" t="s">
        <v>132</v>
      </c>
      <c r="G68" s="38">
        <v>1</v>
      </c>
      <c r="H68" s="96">
        <v>180</v>
      </c>
      <c r="I68" s="96">
        <v>85.4</v>
      </c>
      <c r="J68" s="38">
        <v>3900</v>
      </c>
      <c r="K68" s="96">
        <v>1.5</v>
      </c>
      <c r="L68" s="96">
        <v>7.8</v>
      </c>
      <c r="M68" s="38">
        <v>201</v>
      </c>
      <c r="N68" s="38">
        <v>3</v>
      </c>
      <c r="O68" s="94"/>
      <c r="P68" s="97" t="s">
        <v>133</v>
      </c>
      <c r="Q68" s="97"/>
    </row>
    <row r="69" ht="14.25" customHeight="1" spans="1:17">
      <c r="A69" s="87">
        <v>42</v>
      </c>
      <c r="B69" s="87" t="str">
        <f t="shared" si="1"/>
        <v>170510</v>
      </c>
      <c r="C69" s="94" t="s">
        <v>86</v>
      </c>
      <c r="D69" s="38">
        <v>170510233</v>
      </c>
      <c r="E69" s="38">
        <v>1</v>
      </c>
      <c r="F69" s="38" t="s">
        <v>134</v>
      </c>
      <c r="G69" s="38">
        <v>1</v>
      </c>
      <c r="H69" s="96">
        <v>175.8</v>
      </c>
      <c r="I69" s="96">
        <v>79</v>
      </c>
      <c r="J69" s="38">
        <v>4207</v>
      </c>
      <c r="K69" s="96">
        <v>4.4</v>
      </c>
      <c r="L69" s="96">
        <v>7.8</v>
      </c>
      <c r="M69" s="38">
        <v>215</v>
      </c>
      <c r="N69" s="38">
        <v>2</v>
      </c>
      <c r="O69" s="94"/>
      <c r="P69" s="97" t="s">
        <v>135</v>
      </c>
      <c r="Q69" s="97"/>
    </row>
    <row r="70" ht="14.25" customHeight="1" spans="1:17">
      <c r="A70" s="87">
        <v>42</v>
      </c>
      <c r="B70" s="87" t="str">
        <f t="shared" si="1"/>
        <v>170510</v>
      </c>
      <c r="C70" s="94" t="s">
        <v>86</v>
      </c>
      <c r="D70" s="38">
        <v>170510234</v>
      </c>
      <c r="E70" s="38">
        <v>1</v>
      </c>
      <c r="F70" s="38" t="s">
        <v>136</v>
      </c>
      <c r="G70" s="38">
        <v>1</v>
      </c>
      <c r="H70" s="96">
        <v>171</v>
      </c>
      <c r="I70" s="96">
        <v>60.7</v>
      </c>
      <c r="J70" s="38">
        <v>3987</v>
      </c>
      <c r="K70" s="96">
        <v>17</v>
      </c>
      <c r="L70" s="96">
        <v>7.1</v>
      </c>
      <c r="M70" s="38">
        <v>215</v>
      </c>
      <c r="N70" s="38">
        <v>3</v>
      </c>
      <c r="O70" s="94"/>
      <c r="P70" s="97" t="s">
        <v>137</v>
      </c>
      <c r="Q70" s="97"/>
    </row>
    <row r="71" ht="14.25" customHeight="1" spans="1:17">
      <c r="A71" s="87">
        <v>42</v>
      </c>
      <c r="B71" s="87" t="str">
        <f t="shared" si="1"/>
        <v>170510</v>
      </c>
      <c r="C71" s="94" t="s">
        <v>86</v>
      </c>
      <c r="D71" s="38">
        <v>170510236</v>
      </c>
      <c r="E71" s="38">
        <v>1</v>
      </c>
      <c r="F71" s="38" t="s">
        <v>138</v>
      </c>
      <c r="G71" s="38">
        <v>1</v>
      </c>
      <c r="H71" s="96">
        <v>170.4</v>
      </c>
      <c r="I71" s="96">
        <v>60</v>
      </c>
      <c r="J71" s="38">
        <v>4000</v>
      </c>
      <c r="K71" s="96">
        <v>15.3</v>
      </c>
      <c r="L71" s="96">
        <v>7.8</v>
      </c>
      <c r="M71" s="38">
        <v>225</v>
      </c>
      <c r="N71" s="38">
        <v>9</v>
      </c>
      <c r="O71" s="94"/>
      <c r="P71" s="97" t="s">
        <v>98</v>
      </c>
      <c r="Q71" s="97"/>
    </row>
    <row r="72" ht="14.25" customHeight="1" spans="1:17">
      <c r="A72" s="87">
        <v>42</v>
      </c>
      <c r="B72" s="87" t="str">
        <f t="shared" si="1"/>
        <v>170510</v>
      </c>
      <c r="C72" s="94" t="s">
        <v>86</v>
      </c>
      <c r="D72" s="38">
        <v>170510237</v>
      </c>
      <c r="E72" s="38">
        <v>1</v>
      </c>
      <c r="F72" s="38" t="s">
        <v>139</v>
      </c>
      <c r="G72" s="38">
        <v>1</v>
      </c>
      <c r="H72" s="96">
        <v>174</v>
      </c>
      <c r="I72" s="96">
        <v>52.5</v>
      </c>
      <c r="J72" s="38">
        <v>4184</v>
      </c>
      <c r="K72" s="96">
        <v>6.7</v>
      </c>
      <c r="L72" s="96">
        <v>7.7</v>
      </c>
      <c r="M72" s="38">
        <v>185</v>
      </c>
      <c r="N72" s="38">
        <v>1</v>
      </c>
      <c r="O72" s="94"/>
      <c r="P72" s="97" t="s">
        <v>140</v>
      </c>
      <c r="Q72" s="97"/>
    </row>
    <row r="73" ht="14.25" customHeight="1" spans="1:17">
      <c r="A73" s="87">
        <v>42</v>
      </c>
      <c r="B73" s="87" t="str">
        <f t="shared" si="1"/>
        <v>170510</v>
      </c>
      <c r="C73" s="94" t="s">
        <v>86</v>
      </c>
      <c r="D73" s="38">
        <v>170510238</v>
      </c>
      <c r="E73" s="38">
        <v>1</v>
      </c>
      <c r="F73" s="38" t="s">
        <v>141</v>
      </c>
      <c r="G73" s="38">
        <v>2</v>
      </c>
      <c r="H73" s="96">
        <v>175.8</v>
      </c>
      <c r="I73" s="96">
        <v>64</v>
      </c>
      <c r="J73" s="38">
        <v>3601</v>
      </c>
      <c r="K73" s="96">
        <v>15.1</v>
      </c>
      <c r="L73" s="96">
        <v>8.8</v>
      </c>
      <c r="M73" s="38">
        <v>160</v>
      </c>
      <c r="N73" s="94"/>
      <c r="O73" s="38">
        <v>32</v>
      </c>
      <c r="P73" s="97"/>
      <c r="Q73" s="97" t="s">
        <v>40</v>
      </c>
    </row>
    <row r="74" ht="14.25" customHeight="1" spans="1:17">
      <c r="A74" s="87">
        <v>42</v>
      </c>
      <c r="B74" s="87" t="str">
        <f t="shared" si="1"/>
        <v>170510</v>
      </c>
      <c r="C74" s="94" t="s">
        <v>142</v>
      </c>
      <c r="D74" s="94">
        <v>170510309</v>
      </c>
      <c r="E74" s="38">
        <v>1</v>
      </c>
      <c r="F74" s="98" t="s">
        <v>143</v>
      </c>
      <c r="G74" s="98">
        <v>2</v>
      </c>
      <c r="H74" s="99">
        <v>166.2</v>
      </c>
      <c r="I74" s="99">
        <v>57</v>
      </c>
      <c r="J74" s="94">
        <v>3022</v>
      </c>
      <c r="K74" s="99">
        <v>10.8</v>
      </c>
      <c r="L74" s="99">
        <v>10</v>
      </c>
      <c r="M74" s="94">
        <v>132</v>
      </c>
      <c r="N74" s="94"/>
      <c r="O74" s="94">
        <v>40</v>
      </c>
      <c r="P74" s="103"/>
      <c r="Q74" s="103" t="s">
        <v>33</v>
      </c>
    </row>
    <row r="75" ht="14.25" customHeight="1" spans="1:17">
      <c r="A75" s="87">
        <v>42</v>
      </c>
      <c r="B75" s="87" t="str">
        <f t="shared" si="1"/>
        <v>170510</v>
      </c>
      <c r="C75" s="94" t="s">
        <v>142</v>
      </c>
      <c r="D75" s="94">
        <v>170510310</v>
      </c>
      <c r="E75" s="38">
        <v>1</v>
      </c>
      <c r="F75" s="98" t="s">
        <v>144</v>
      </c>
      <c r="G75" s="98">
        <v>2</v>
      </c>
      <c r="H75" s="99">
        <v>153.3</v>
      </c>
      <c r="I75" s="99">
        <v>55.6</v>
      </c>
      <c r="J75" s="94">
        <v>2556</v>
      </c>
      <c r="K75" s="99">
        <v>10.7</v>
      </c>
      <c r="L75" s="99">
        <v>9.2</v>
      </c>
      <c r="M75" s="94">
        <v>143</v>
      </c>
      <c r="N75" s="94"/>
      <c r="O75" s="94">
        <v>42</v>
      </c>
      <c r="P75" s="103"/>
      <c r="Q75" s="103" t="s">
        <v>83</v>
      </c>
    </row>
    <row r="76" ht="14.25" customHeight="1" spans="1:17">
      <c r="A76" s="87">
        <v>42</v>
      </c>
      <c r="B76" s="87" t="str">
        <f t="shared" si="1"/>
        <v>170510</v>
      </c>
      <c r="C76" s="94" t="s">
        <v>142</v>
      </c>
      <c r="D76" s="94">
        <v>170510311</v>
      </c>
      <c r="E76" s="38">
        <v>1</v>
      </c>
      <c r="F76" s="98" t="s">
        <v>145</v>
      </c>
      <c r="G76" s="98">
        <v>2</v>
      </c>
      <c r="H76" s="99">
        <v>169.5</v>
      </c>
      <c r="I76" s="99">
        <v>51.5</v>
      </c>
      <c r="J76" s="94">
        <v>3303</v>
      </c>
      <c r="K76" s="99">
        <v>24.8</v>
      </c>
      <c r="L76" s="99">
        <v>8.7</v>
      </c>
      <c r="M76" s="94">
        <v>162</v>
      </c>
      <c r="N76" s="94"/>
      <c r="O76" s="94">
        <v>47</v>
      </c>
      <c r="P76" s="103"/>
      <c r="Q76" s="103" t="s">
        <v>146</v>
      </c>
    </row>
    <row r="77" ht="14.25" customHeight="1" spans="1:17">
      <c r="A77" s="87">
        <v>42</v>
      </c>
      <c r="B77" s="87" t="str">
        <f t="shared" si="1"/>
        <v>170510</v>
      </c>
      <c r="C77" s="94" t="s">
        <v>142</v>
      </c>
      <c r="D77" s="94">
        <v>170510312</v>
      </c>
      <c r="E77" s="38">
        <v>1</v>
      </c>
      <c r="F77" s="98" t="s">
        <v>147</v>
      </c>
      <c r="G77" s="98">
        <v>2</v>
      </c>
      <c r="H77" s="99">
        <v>168.3</v>
      </c>
      <c r="I77" s="99">
        <v>52.5</v>
      </c>
      <c r="J77" s="94">
        <v>2186</v>
      </c>
      <c r="K77" s="99">
        <v>13.7</v>
      </c>
      <c r="L77" s="99">
        <v>10</v>
      </c>
      <c r="M77" s="94">
        <v>137</v>
      </c>
      <c r="N77" s="94"/>
      <c r="O77" s="94">
        <v>29</v>
      </c>
      <c r="P77" s="103"/>
      <c r="Q77" s="103" t="s">
        <v>148</v>
      </c>
    </row>
    <row r="78" ht="14.25" customHeight="1" spans="1:17">
      <c r="A78" s="87">
        <v>42</v>
      </c>
      <c r="B78" s="87" t="str">
        <f t="shared" si="1"/>
        <v>170510</v>
      </c>
      <c r="C78" s="94" t="s">
        <v>142</v>
      </c>
      <c r="D78" s="94">
        <v>170510313</v>
      </c>
      <c r="E78" s="38">
        <v>1</v>
      </c>
      <c r="F78" s="98" t="s">
        <v>149</v>
      </c>
      <c r="G78" s="98">
        <v>2</v>
      </c>
      <c r="H78" s="99">
        <v>173</v>
      </c>
      <c r="I78" s="99">
        <v>73.2</v>
      </c>
      <c r="J78" s="94">
        <v>2974</v>
      </c>
      <c r="K78" s="99">
        <v>10</v>
      </c>
      <c r="L78" s="99">
        <v>9.8</v>
      </c>
      <c r="M78" s="94">
        <v>110</v>
      </c>
      <c r="N78" s="94"/>
      <c r="O78" s="94">
        <v>36</v>
      </c>
      <c r="P78" s="103"/>
      <c r="Q78" s="103" t="s">
        <v>19</v>
      </c>
    </row>
    <row r="79" ht="14.25" customHeight="1" spans="1:17">
      <c r="A79" s="87">
        <v>42</v>
      </c>
      <c r="B79" s="87" t="str">
        <f t="shared" si="1"/>
        <v>170510</v>
      </c>
      <c r="C79" s="94" t="s">
        <v>142</v>
      </c>
      <c r="D79" s="94">
        <v>170510314</v>
      </c>
      <c r="E79" s="38">
        <v>1</v>
      </c>
      <c r="F79" s="98" t="s">
        <v>150</v>
      </c>
      <c r="G79" s="98">
        <v>2</v>
      </c>
      <c r="H79" s="99">
        <v>164</v>
      </c>
      <c r="I79" s="99">
        <v>52.5</v>
      </c>
      <c r="J79" s="94">
        <v>3158</v>
      </c>
      <c r="K79" s="99">
        <v>14.9</v>
      </c>
      <c r="L79" s="99">
        <v>10</v>
      </c>
      <c r="M79" s="94">
        <v>125</v>
      </c>
      <c r="N79" s="94"/>
      <c r="O79" s="94">
        <v>33</v>
      </c>
      <c r="P79" s="103"/>
      <c r="Q79" s="103" t="s">
        <v>49</v>
      </c>
    </row>
    <row r="80" ht="14.25" customHeight="1" spans="1:17">
      <c r="A80" s="87">
        <v>42</v>
      </c>
      <c r="B80" s="87" t="str">
        <f t="shared" si="1"/>
        <v>170510</v>
      </c>
      <c r="C80" s="94" t="s">
        <v>142</v>
      </c>
      <c r="D80" s="94">
        <v>170510315</v>
      </c>
      <c r="E80" s="38">
        <v>1</v>
      </c>
      <c r="F80" s="98" t="s">
        <v>151</v>
      </c>
      <c r="G80" s="98">
        <v>2</v>
      </c>
      <c r="H80" s="99">
        <v>167.2</v>
      </c>
      <c r="I80" s="99">
        <v>56.6</v>
      </c>
      <c r="J80" s="94">
        <v>3129</v>
      </c>
      <c r="K80" s="99">
        <v>17.2</v>
      </c>
      <c r="L80" s="99">
        <v>9</v>
      </c>
      <c r="M80" s="94">
        <v>164</v>
      </c>
      <c r="N80" s="94"/>
      <c r="O80" s="94">
        <v>45</v>
      </c>
      <c r="P80" s="103"/>
      <c r="Q80" s="103" t="s">
        <v>81</v>
      </c>
    </row>
    <row r="81" ht="14.25" customHeight="1" spans="1:17">
      <c r="A81" s="87">
        <v>42</v>
      </c>
      <c r="B81" s="87" t="str">
        <f t="shared" si="1"/>
        <v>170510</v>
      </c>
      <c r="C81" s="94" t="s">
        <v>142</v>
      </c>
      <c r="D81" s="94">
        <v>170510318</v>
      </c>
      <c r="E81" s="38">
        <v>1</v>
      </c>
      <c r="F81" s="98" t="s">
        <v>152</v>
      </c>
      <c r="G81" s="98">
        <v>2</v>
      </c>
      <c r="H81" s="99">
        <v>162</v>
      </c>
      <c r="I81" s="99">
        <v>54</v>
      </c>
      <c r="J81" s="94">
        <v>2865</v>
      </c>
      <c r="K81" s="99">
        <v>17.9</v>
      </c>
      <c r="L81" s="99">
        <v>9.8</v>
      </c>
      <c r="M81" s="94">
        <v>145</v>
      </c>
      <c r="N81" s="94"/>
      <c r="O81" s="94">
        <v>35</v>
      </c>
      <c r="P81" s="103"/>
      <c r="Q81" s="103" t="s">
        <v>81</v>
      </c>
    </row>
    <row r="82" ht="14.25" customHeight="1" spans="1:17">
      <c r="A82" s="87">
        <v>42</v>
      </c>
      <c r="B82" s="87" t="str">
        <f t="shared" si="1"/>
        <v>170510</v>
      </c>
      <c r="C82" s="94" t="s">
        <v>142</v>
      </c>
      <c r="D82" s="94">
        <v>170510319</v>
      </c>
      <c r="E82" s="38">
        <v>1</v>
      </c>
      <c r="F82" s="98" t="s">
        <v>153</v>
      </c>
      <c r="G82" s="98">
        <v>2</v>
      </c>
      <c r="H82" s="99">
        <v>160.3</v>
      </c>
      <c r="I82" s="99">
        <v>55.1</v>
      </c>
      <c r="J82" s="94">
        <v>2673</v>
      </c>
      <c r="K82" s="99">
        <v>18.7</v>
      </c>
      <c r="L82" s="99">
        <v>9.8</v>
      </c>
      <c r="M82" s="94">
        <v>152</v>
      </c>
      <c r="N82" s="94"/>
      <c r="O82" s="94">
        <v>38</v>
      </c>
      <c r="P82" s="103"/>
      <c r="Q82" s="103" t="s">
        <v>33</v>
      </c>
    </row>
    <row r="83" ht="14.25" customHeight="1" spans="1:17">
      <c r="A83" s="87">
        <v>42</v>
      </c>
      <c r="B83" s="87" t="str">
        <f t="shared" si="1"/>
        <v>170510</v>
      </c>
      <c r="C83" s="94" t="s">
        <v>142</v>
      </c>
      <c r="D83" s="94">
        <v>170510320</v>
      </c>
      <c r="E83" s="38">
        <v>1</v>
      </c>
      <c r="F83" s="98" t="s">
        <v>154</v>
      </c>
      <c r="G83" s="98">
        <v>2</v>
      </c>
      <c r="H83" s="99">
        <v>168.2</v>
      </c>
      <c r="I83" s="99">
        <v>60.4</v>
      </c>
      <c r="J83" s="94">
        <v>3469</v>
      </c>
      <c r="K83" s="99">
        <v>12.2</v>
      </c>
      <c r="L83" s="99">
        <v>9.3</v>
      </c>
      <c r="M83" s="94">
        <v>160</v>
      </c>
      <c r="N83" s="94"/>
      <c r="O83" s="94">
        <v>50</v>
      </c>
      <c r="P83" s="103"/>
      <c r="Q83" s="103" t="s">
        <v>140</v>
      </c>
    </row>
    <row r="84" ht="14.25" customHeight="1" spans="1:17">
      <c r="A84" s="87">
        <v>42</v>
      </c>
      <c r="B84" s="87" t="str">
        <f t="shared" si="1"/>
        <v>170510</v>
      </c>
      <c r="C84" s="94" t="s">
        <v>142</v>
      </c>
      <c r="D84" s="94">
        <v>170510321</v>
      </c>
      <c r="E84" s="38">
        <v>1</v>
      </c>
      <c r="F84" s="98" t="s">
        <v>155</v>
      </c>
      <c r="G84" s="98">
        <v>2</v>
      </c>
      <c r="H84" s="99">
        <v>163.4</v>
      </c>
      <c r="I84" s="99">
        <v>51.8</v>
      </c>
      <c r="J84" s="94">
        <v>2569</v>
      </c>
      <c r="K84" s="99">
        <v>8.3</v>
      </c>
      <c r="L84" s="99">
        <v>10</v>
      </c>
      <c r="M84" s="94">
        <v>130</v>
      </c>
      <c r="N84" s="94"/>
      <c r="O84" s="94">
        <v>36</v>
      </c>
      <c r="P84" s="103"/>
      <c r="Q84" s="103" t="s">
        <v>19</v>
      </c>
    </row>
    <row r="85" ht="14.25" customHeight="1" spans="1:17">
      <c r="A85" s="87">
        <v>42</v>
      </c>
      <c r="B85" s="87" t="str">
        <f t="shared" si="1"/>
        <v>170510</v>
      </c>
      <c r="C85" s="94" t="s">
        <v>142</v>
      </c>
      <c r="D85" s="94">
        <v>170510322</v>
      </c>
      <c r="E85" s="38">
        <v>1</v>
      </c>
      <c r="F85" s="98" t="s">
        <v>156</v>
      </c>
      <c r="G85" s="98">
        <v>2</v>
      </c>
      <c r="H85" s="99">
        <v>169.3</v>
      </c>
      <c r="I85" s="99">
        <v>75</v>
      </c>
      <c r="J85" s="94">
        <v>3159</v>
      </c>
      <c r="K85" s="99">
        <v>19.3</v>
      </c>
      <c r="L85" s="99">
        <v>9.1</v>
      </c>
      <c r="M85" s="94">
        <v>164</v>
      </c>
      <c r="N85" s="94"/>
      <c r="O85" s="94">
        <v>43</v>
      </c>
      <c r="P85" s="103"/>
      <c r="Q85" s="103" t="s">
        <v>31</v>
      </c>
    </row>
    <row r="86" ht="14.25" customHeight="1" spans="1:17">
      <c r="A86" s="87">
        <v>42</v>
      </c>
      <c r="B86" s="87" t="str">
        <f t="shared" si="1"/>
        <v>170510</v>
      </c>
      <c r="C86" s="94" t="s">
        <v>142</v>
      </c>
      <c r="D86" s="94">
        <v>170510323</v>
      </c>
      <c r="E86" s="38">
        <v>1</v>
      </c>
      <c r="F86" s="98" t="s">
        <v>157</v>
      </c>
      <c r="G86" s="98">
        <v>2</v>
      </c>
      <c r="H86" s="99">
        <v>175.5</v>
      </c>
      <c r="I86" s="99">
        <v>52.8</v>
      </c>
      <c r="J86" s="94">
        <v>3047</v>
      </c>
      <c r="K86" s="99">
        <v>7.2</v>
      </c>
      <c r="L86" s="99">
        <v>9.5</v>
      </c>
      <c r="M86" s="94">
        <v>150</v>
      </c>
      <c r="N86" s="94"/>
      <c r="O86" s="94">
        <v>42</v>
      </c>
      <c r="P86" s="103"/>
      <c r="Q86" s="103" t="s">
        <v>31</v>
      </c>
    </row>
    <row r="87" ht="14.25" customHeight="1" spans="1:17">
      <c r="A87" s="87">
        <v>42</v>
      </c>
      <c r="B87" s="87" t="str">
        <f t="shared" si="1"/>
        <v>170510</v>
      </c>
      <c r="C87" s="94" t="s">
        <v>142</v>
      </c>
      <c r="D87" s="94">
        <v>170510324</v>
      </c>
      <c r="E87" s="38">
        <v>1</v>
      </c>
      <c r="F87" s="98" t="s">
        <v>158</v>
      </c>
      <c r="G87" s="98">
        <v>2</v>
      </c>
      <c r="H87" s="99">
        <v>169.2</v>
      </c>
      <c r="I87" s="99">
        <v>52</v>
      </c>
      <c r="J87" s="94">
        <v>3876</v>
      </c>
      <c r="K87" s="99">
        <v>18</v>
      </c>
      <c r="L87" s="99">
        <v>9.6</v>
      </c>
      <c r="M87" s="94">
        <v>168</v>
      </c>
      <c r="N87" s="94"/>
      <c r="O87" s="94">
        <v>45</v>
      </c>
      <c r="P87" s="103"/>
      <c r="Q87" s="103" t="s">
        <v>27</v>
      </c>
    </row>
    <row r="88" ht="14.25" customHeight="1" spans="1:17">
      <c r="A88" s="87">
        <v>42</v>
      </c>
      <c r="B88" s="87" t="str">
        <f t="shared" si="1"/>
        <v>170510</v>
      </c>
      <c r="C88" s="94" t="s">
        <v>142</v>
      </c>
      <c r="D88" s="94">
        <v>170510325</v>
      </c>
      <c r="E88" s="38">
        <v>1</v>
      </c>
      <c r="F88" s="98" t="s">
        <v>159</v>
      </c>
      <c r="G88" s="98">
        <v>2</v>
      </c>
      <c r="H88" s="99">
        <v>160.1</v>
      </c>
      <c r="I88" s="99">
        <v>53.6</v>
      </c>
      <c r="J88" s="94">
        <v>3147</v>
      </c>
      <c r="K88" s="99">
        <v>14.1</v>
      </c>
      <c r="L88" s="99">
        <v>9.5</v>
      </c>
      <c r="M88" s="94">
        <v>180</v>
      </c>
      <c r="N88" s="94"/>
      <c r="O88" s="94">
        <v>38</v>
      </c>
      <c r="P88" s="103"/>
      <c r="Q88" s="103" t="s">
        <v>29</v>
      </c>
    </row>
    <row r="89" ht="14.25" customHeight="1" spans="1:17">
      <c r="A89" s="87">
        <v>42</v>
      </c>
      <c r="B89" s="87" t="str">
        <f t="shared" si="1"/>
        <v>170510</v>
      </c>
      <c r="C89" s="94" t="s">
        <v>142</v>
      </c>
      <c r="D89" s="94">
        <v>170510326</v>
      </c>
      <c r="E89" s="38">
        <v>1</v>
      </c>
      <c r="F89" s="98" t="s">
        <v>160</v>
      </c>
      <c r="G89" s="98">
        <v>2</v>
      </c>
      <c r="H89" s="99">
        <v>158.2</v>
      </c>
      <c r="I89" s="99">
        <v>54</v>
      </c>
      <c r="J89" s="94">
        <v>2449</v>
      </c>
      <c r="K89" s="99">
        <v>10.2</v>
      </c>
      <c r="L89" s="99">
        <v>9.2</v>
      </c>
      <c r="M89" s="94">
        <v>145</v>
      </c>
      <c r="N89" s="94"/>
      <c r="O89" s="94">
        <v>41</v>
      </c>
      <c r="P89" s="103"/>
      <c r="Q89" s="103" t="s">
        <v>161</v>
      </c>
    </row>
    <row r="90" ht="14.25" customHeight="1" spans="1:17">
      <c r="A90" s="87">
        <v>42</v>
      </c>
      <c r="B90" s="87" t="str">
        <f t="shared" si="1"/>
        <v>170510</v>
      </c>
      <c r="C90" s="94" t="s">
        <v>142</v>
      </c>
      <c r="D90" s="94">
        <v>170510327</v>
      </c>
      <c r="E90" s="38">
        <v>1</v>
      </c>
      <c r="F90" s="98" t="s">
        <v>162</v>
      </c>
      <c r="G90" s="98">
        <v>2</v>
      </c>
      <c r="H90" s="99">
        <v>155</v>
      </c>
      <c r="I90" s="99">
        <v>40</v>
      </c>
      <c r="J90" s="94">
        <v>2295</v>
      </c>
      <c r="K90" s="99">
        <v>5.9</v>
      </c>
      <c r="L90" s="99">
        <v>10</v>
      </c>
      <c r="M90" s="94">
        <v>135</v>
      </c>
      <c r="N90" s="94"/>
      <c r="O90" s="94">
        <v>43</v>
      </c>
      <c r="P90" s="103"/>
      <c r="Q90" s="103" t="s">
        <v>163</v>
      </c>
    </row>
    <row r="91" ht="14.25" customHeight="1" spans="1:17">
      <c r="A91" s="87">
        <v>42</v>
      </c>
      <c r="B91" s="87" t="str">
        <f t="shared" si="1"/>
        <v>170510</v>
      </c>
      <c r="C91" s="94" t="s">
        <v>142</v>
      </c>
      <c r="D91" s="94">
        <v>170510328</v>
      </c>
      <c r="E91" s="38">
        <v>1</v>
      </c>
      <c r="F91" s="98" t="s">
        <v>164</v>
      </c>
      <c r="G91" s="98">
        <v>2</v>
      </c>
      <c r="H91" s="99">
        <v>168</v>
      </c>
      <c r="I91" s="99">
        <v>46.4</v>
      </c>
      <c r="J91" s="94">
        <v>3311</v>
      </c>
      <c r="K91" s="99">
        <v>10.3</v>
      </c>
      <c r="L91" s="99">
        <v>9.8</v>
      </c>
      <c r="M91" s="94">
        <v>160</v>
      </c>
      <c r="N91" s="94"/>
      <c r="O91" s="94">
        <v>48</v>
      </c>
      <c r="P91" s="103"/>
      <c r="Q91" s="103" t="s">
        <v>98</v>
      </c>
    </row>
    <row r="92" ht="14.25" customHeight="1" spans="1:17">
      <c r="A92" s="87">
        <v>42</v>
      </c>
      <c r="B92" s="87" t="str">
        <f t="shared" si="1"/>
        <v>170510</v>
      </c>
      <c r="C92" s="94" t="s">
        <v>142</v>
      </c>
      <c r="D92" s="94">
        <v>170510329</v>
      </c>
      <c r="E92" s="38">
        <v>1</v>
      </c>
      <c r="F92" s="98" t="s">
        <v>165</v>
      </c>
      <c r="G92" s="98">
        <v>2</v>
      </c>
      <c r="H92" s="99">
        <v>162.5</v>
      </c>
      <c r="I92" s="99">
        <v>53.5</v>
      </c>
      <c r="J92" s="94">
        <v>2066</v>
      </c>
      <c r="K92" s="99">
        <v>15.5</v>
      </c>
      <c r="L92" s="99">
        <v>9.8</v>
      </c>
      <c r="M92" s="94">
        <v>155</v>
      </c>
      <c r="N92" s="94"/>
      <c r="O92" s="94">
        <v>40</v>
      </c>
      <c r="P92" s="103"/>
      <c r="Q92" s="103" t="s">
        <v>83</v>
      </c>
    </row>
    <row r="93" ht="14.25" customHeight="1" spans="1:17">
      <c r="A93" s="87">
        <v>42</v>
      </c>
      <c r="B93" s="87" t="str">
        <f t="shared" si="1"/>
        <v>170510</v>
      </c>
      <c r="C93" s="94" t="s">
        <v>142</v>
      </c>
      <c r="D93" s="94">
        <v>170510330</v>
      </c>
      <c r="E93" s="38">
        <v>1</v>
      </c>
      <c r="F93" s="98" t="s">
        <v>166</v>
      </c>
      <c r="G93" s="98">
        <v>2</v>
      </c>
      <c r="H93" s="99">
        <v>166</v>
      </c>
      <c r="I93" s="99">
        <v>53.2</v>
      </c>
      <c r="J93" s="94">
        <v>2337</v>
      </c>
      <c r="K93" s="99">
        <v>21.7</v>
      </c>
      <c r="L93" s="99">
        <v>8.8</v>
      </c>
      <c r="M93" s="94">
        <v>175</v>
      </c>
      <c r="N93" s="94"/>
      <c r="O93" s="94">
        <v>37</v>
      </c>
      <c r="P93" s="103"/>
      <c r="Q93" s="103" t="s">
        <v>167</v>
      </c>
    </row>
    <row r="94" ht="14.25" customHeight="1" spans="1:17">
      <c r="A94" s="87">
        <v>42</v>
      </c>
      <c r="B94" s="87" t="str">
        <f t="shared" si="1"/>
        <v>170510</v>
      </c>
      <c r="C94" s="94" t="s">
        <v>142</v>
      </c>
      <c r="D94" s="94">
        <v>170510333</v>
      </c>
      <c r="E94" s="38">
        <v>1</v>
      </c>
      <c r="F94" s="98" t="s">
        <v>168</v>
      </c>
      <c r="G94" s="98">
        <v>1</v>
      </c>
      <c r="H94" s="99">
        <v>180.2</v>
      </c>
      <c r="I94" s="99">
        <v>62.3</v>
      </c>
      <c r="J94" s="94">
        <v>3891</v>
      </c>
      <c r="K94" s="99">
        <v>13.3</v>
      </c>
      <c r="L94" s="99">
        <v>7.2</v>
      </c>
      <c r="M94" s="94">
        <v>220</v>
      </c>
      <c r="N94" s="94">
        <v>6</v>
      </c>
      <c r="O94" s="94"/>
      <c r="P94" s="103"/>
      <c r="Q94" s="103"/>
    </row>
    <row r="95" ht="14.25" customHeight="1" spans="1:17">
      <c r="A95" s="87">
        <v>42</v>
      </c>
      <c r="B95" s="87" t="str">
        <f t="shared" si="1"/>
        <v>170510</v>
      </c>
      <c r="C95" s="94" t="s">
        <v>142</v>
      </c>
      <c r="D95" s="94">
        <v>170510334</v>
      </c>
      <c r="E95" s="38">
        <v>1</v>
      </c>
      <c r="F95" s="98" t="s">
        <v>169</v>
      </c>
      <c r="G95" s="98">
        <v>1</v>
      </c>
      <c r="H95" s="99">
        <v>173.1</v>
      </c>
      <c r="I95" s="99">
        <v>59.2</v>
      </c>
      <c r="J95" s="94">
        <v>4107</v>
      </c>
      <c r="K95" s="99">
        <v>7.5</v>
      </c>
      <c r="L95" s="99">
        <v>8.5</v>
      </c>
      <c r="M95" s="94">
        <v>210</v>
      </c>
      <c r="N95" s="94">
        <v>4</v>
      </c>
      <c r="O95" s="94"/>
      <c r="P95" s="103" t="s">
        <v>128</v>
      </c>
      <c r="Q95" s="103"/>
    </row>
    <row r="96" ht="14.25" customHeight="1" spans="1:17">
      <c r="A96" s="87">
        <v>42</v>
      </c>
      <c r="B96" s="87" t="str">
        <f t="shared" si="1"/>
        <v>170510</v>
      </c>
      <c r="C96" s="94" t="s">
        <v>142</v>
      </c>
      <c r="D96" s="94">
        <v>170510335</v>
      </c>
      <c r="E96" s="38">
        <v>1</v>
      </c>
      <c r="F96" s="98" t="s">
        <v>170</v>
      </c>
      <c r="G96" s="98">
        <v>1</v>
      </c>
      <c r="H96" s="99">
        <v>175.5</v>
      </c>
      <c r="I96" s="99">
        <v>66.8</v>
      </c>
      <c r="J96" s="94">
        <v>3442</v>
      </c>
      <c r="K96" s="99">
        <v>25.3</v>
      </c>
      <c r="L96" s="99">
        <v>7.2</v>
      </c>
      <c r="M96" s="94">
        <v>230</v>
      </c>
      <c r="N96" s="94">
        <v>5</v>
      </c>
      <c r="O96" s="94"/>
      <c r="P96" s="103" t="s">
        <v>69</v>
      </c>
      <c r="Q96" s="103"/>
    </row>
    <row r="97" ht="14.25" customHeight="1" spans="1:17">
      <c r="A97" s="87">
        <v>42</v>
      </c>
      <c r="B97" s="87" t="str">
        <f t="shared" si="1"/>
        <v>170510</v>
      </c>
      <c r="C97" s="94" t="s">
        <v>142</v>
      </c>
      <c r="D97" s="94">
        <v>170510336</v>
      </c>
      <c r="E97" s="38">
        <v>1</v>
      </c>
      <c r="F97" s="98" t="s">
        <v>171</v>
      </c>
      <c r="G97" s="98">
        <v>1</v>
      </c>
      <c r="H97" s="99">
        <v>173.3</v>
      </c>
      <c r="I97" s="99">
        <v>67.9</v>
      </c>
      <c r="J97" s="94">
        <v>5116</v>
      </c>
      <c r="K97" s="99">
        <v>3.4</v>
      </c>
      <c r="L97" s="99">
        <v>7.8</v>
      </c>
      <c r="M97" s="94">
        <v>235</v>
      </c>
      <c r="N97" s="94">
        <v>3</v>
      </c>
      <c r="O97" s="94"/>
      <c r="P97" s="103" t="s">
        <v>62</v>
      </c>
      <c r="Q97" s="103"/>
    </row>
    <row r="98" ht="14.25" customHeight="1" spans="1:17">
      <c r="A98" s="87">
        <v>42</v>
      </c>
      <c r="B98" s="87" t="str">
        <f t="shared" si="1"/>
        <v>170510</v>
      </c>
      <c r="C98" s="94" t="s">
        <v>142</v>
      </c>
      <c r="D98" s="94">
        <v>170510301</v>
      </c>
      <c r="E98" s="38">
        <v>1</v>
      </c>
      <c r="F98" s="98" t="s">
        <v>172</v>
      </c>
      <c r="G98" s="98">
        <v>2</v>
      </c>
      <c r="H98" s="100">
        <v>162.2</v>
      </c>
      <c r="I98" s="100">
        <v>45.5</v>
      </c>
      <c r="J98" s="98">
        <v>3207</v>
      </c>
      <c r="K98" s="100">
        <v>12.5</v>
      </c>
      <c r="L98" s="100">
        <v>9.5</v>
      </c>
      <c r="M98" s="98">
        <v>150</v>
      </c>
      <c r="N98" s="98"/>
      <c r="O98" s="98">
        <v>41</v>
      </c>
      <c r="P98" s="104"/>
      <c r="Q98" s="104" t="s">
        <v>118</v>
      </c>
    </row>
    <row r="99" ht="14.25" customHeight="1" spans="1:17">
      <c r="A99" s="87">
        <v>42</v>
      </c>
      <c r="B99" s="87" t="str">
        <f t="shared" si="1"/>
        <v>170510</v>
      </c>
      <c r="C99" s="94" t="s">
        <v>142</v>
      </c>
      <c r="D99" s="94">
        <v>170510302</v>
      </c>
      <c r="E99" s="38">
        <v>1</v>
      </c>
      <c r="F99" s="98" t="s">
        <v>173</v>
      </c>
      <c r="G99" s="98">
        <v>2</v>
      </c>
      <c r="H99" s="100">
        <v>172</v>
      </c>
      <c r="I99" s="100">
        <v>59</v>
      </c>
      <c r="J99" s="98">
        <v>3225</v>
      </c>
      <c r="K99" s="100">
        <v>10.3</v>
      </c>
      <c r="L99" s="100">
        <v>8.7</v>
      </c>
      <c r="M99" s="98">
        <v>165</v>
      </c>
      <c r="N99" s="98"/>
      <c r="O99" s="98">
        <v>45</v>
      </c>
      <c r="P99" s="104"/>
      <c r="Q99" s="104" t="s">
        <v>42</v>
      </c>
    </row>
    <row r="100" ht="14.25" customHeight="1" spans="1:17">
      <c r="A100" s="87">
        <v>42</v>
      </c>
      <c r="B100" s="87" t="str">
        <f t="shared" si="1"/>
        <v>170510</v>
      </c>
      <c r="C100" s="94" t="s">
        <v>142</v>
      </c>
      <c r="D100" s="94">
        <v>170510303</v>
      </c>
      <c r="E100" s="38">
        <v>1</v>
      </c>
      <c r="F100" s="98" t="s">
        <v>174</v>
      </c>
      <c r="G100" s="98">
        <v>2</v>
      </c>
      <c r="H100" s="99">
        <v>162.5</v>
      </c>
      <c r="I100" s="99">
        <v>50.5</v>
      </c>
      <c r="J100" s="94">
        <v>3352</v>
      </c>
      <c r="K100" s="99">
        <v>15.7</v>
      </c>
      <c r="L100" s="99">
        <v>9.7</v>
      </c>
      <c r="M100" s="94">
        <v>153</v>
      </c>
      <c r="N100" s="94"/>
      <c r="O100" s="94">
        <v>37</v>
      </c>
      <c r="P100" s="103"/>
      <c r="Q100" s="103" t="s">
        <v>175</v>
      </c>
    </row>
    <row r="101" ht="14.25" customHeight="1" spans="1:17">
      <c r="A101" s="87">
        <v>42</v>
      </c>
      <c r="B101" s="87" t="str">
        <f t="shared" si="1"/>
        <v>170510</v>
      </c>
      <c r="C101" s="94" t="s">
        <v>142</v>
      </c>
      <c r="D101" s="94">
        <v>170510304</v>
      </c>
      <c r="E101" s="38">
        <v>1</v>
      </c>
      <c r="F101" s="98" t="s">
        <v>176</v>
      </c>
      <c r="G101" s="98">
        <v>2</v>
      </c>
      <c r="H101" s="99">
        <v>162</v>
      </c>
      <c r="I101" s="99">
        <v>54.1</v>
      </c>
      <c r="J101" s="94">
        <v>2437</v>
      </c>
      <c r="K101" s="99">
        <v>6.1</v>
      </c>
      <c r="L101" s="99">
        <v>10</v>
      </c>
      <c r="M101" s="94">
        <v>135</v>
      </c>
      <c r="N101" s="94"/>
      <c r="O101" s="94">
        <v>35</v>
      </c>
      <c r="P101" s="103"/>
      <c r="Q101" s="103" t="s">
        <v>177</v>
      </c>
    </row>
    <row r="102" ht="14.25" customHeight="1" spans="1:17">
      <c r="A102" s="87">
        <v>42</v>
      </c>
      <c r="B102" s="87" t="str">
        <f t="shared" si="1"/>
        <v>170510</v>
      </c>
      <c r="C102" s="94" t="s">
        <v>142</v>
      </c>
      <c r="D102" s="94">
        <v>170510305</v>
      </c>
      <c r="E102" s="38">
        <v>1</v>
      </c>
      <c r="F102" s="98" t="s">
        <v>178</v>
      </c>
      <c r="G102" s="98">
        <v>2</v>
      </c>
      <c r="H102" s="99">
        <v>165.5</v>
      </c>
      <c r="I102" s="99">
        <v>59.2</v>
      </c>
      <c r="J102" s="94">
        <v>3106</v>
      </c>
      <c r="K102" s="99">
        <v>22.1</v>
      </c>
      <c r="L102" s="99">
        <v>8.7</v>
      </c>
      <c r="M102" s="94">
        <v>170</v>
      </c>
      <c r="N102" s="94"/>
      <c r="O102" s="94">
        <v>40</v>
      </c>
      <c r="P102" s="103"/>
      <c r="Q102" s="103" t="s">
        <v>124</v>
      </c>
    </row>
    <row r="103" ht="14.25" customHeight="1" spans="1:17">
      <c r="A103" s="87">
        <v>42</v>
      </c>
      <c r="B103" s="87" t="str">
        <f t="shared" si="1"/>
        <v>170510</v>
      </c>
      <c r="C103" s="94" t="s">
        <v>142</v>
      </c>
      <c r="D103" s="94">
        <v>170510306</v>
      </c>
      <c r="E103" s="38">
        <v>1</v>
      </c>
      <c r="F103" s="98" t="s">
        <v>179</v>
      </c>
      <c r="G103" s="98">
        <v>2</v>
      </c>
      <c r="H103" s="99">
        <v>170.1</v>
      </c>
      <c r="I103" s="99">
        <v>54.3</v>
      </c>
      <c r="J103" s="94">
        <v>2386</v>
      </c>
      <c r="K103" s="99">
        <v>22.4</v>
      </c>
      <c r="L103" s="99">
        <v>9.8</v>
      </c>
      <c r="M103" s="94">
        <v>154</v>
      </c>
      <c r="N103" s="94"/>
      <c r="O103" s="94">
        <v>40</v>
      </c>
      <c r="P103" s="103"/>
      <c r="Q103" s="103" t="s">
        <v>44</v>
      </c>
    </row>
    <row r="104" ht="14.25" customHeight="1" spans="1:17">
      <c r="A104" s="87">
        <v>42</v>
      </c>
      <c r="B104" s="87" t="str">
        <f t="shared" si="1"/>
        <v>170510</v>
      </c>
      <c r="C104" s="94" t="s">
        <v>142</v>
      </c>
      <c r="D104" s="94">
        <v>170510307</v>
      </c>
      <c r="E104" s="38">
        <v>1</v>
      </c>
      <c r="F104" s="98" t="s">
        <v>180</v>
      </c>
      <c r="G104" s="98">
        <v>2</v>
      </c>
      <c r="H104" s="99">
        <v>170.5</v>
      </c>
      <c r="I104" s="99">
        <v>75.5</v>
      </c>
      <c r="J104" s="94">
        <v>3711</v>
      </c>
      <c r="K104" s="99">
        <v>5</v>
      </c>
      <c r="L104" s="99">
        <v>9.8</v>
      </c>
      <c r="M104" s="94">
        <v>140</v>
      </c>
      <c r="N104" s="94"/>
      <c r="O104" s="94">
        <v>37</v>
      </c>
      <c r="P104" s="103"/>
      <c r="Q104" s="103" t="s">
        <v>31</v>
      </c>
    </row>
    <row r="105" ht="14.25" customHeight="1" spans="1:17">
      <c r="A105" s="87">
        <v>42</v>
      </c>
      <c r="B105" s="87" t="str">
        <f t="shared" si="1"/>
        <v>170510</v>
      </c>
      <c r="C105" s="94" t="s">
        <v>142</v>
      </c>
      <c r="D105" s="94">
        <v>170510337</v>
      </c>
      <c r="E105" s="38">
        <v>1</v>
      </c>
      <c r="F105" s="98" t="s">
        <v>181</v>
      </c>
      <c r="G105" s="98">
        <v>1</v>
      </c>
      <c r="H105" s="99">
        <v>174</v>
      </c>
      <c r="I105" s="99">
        <v>57.2</v>
      </c>
      <c r="J105" s="94">
        <v>3674</v>
      </c>
      <c r="K105" s="99">
        <v>17.8</v>
      </c>
      <c r="L105" s="99">
        <v>7.6</v>
      </c>
      <c r="M105" s="94">
        <v>230</v>
      </c>
      <c r="N105" s="94">
        <v>8</v>
      </c>
      <c r="O105" s="94"/>
      <c r="P105" s="103" t="s">
        <v>57</v>
      </c>
      <c r="Q105" s="103"/>
    </row>
    <row r="106" ht="14.25" customHeight="1" spans="1:17">
      <c r="A106" s="87">
        <v>42</v>
      </c>
      <c r="B106" s="87" t="str">
        <f t="shared" si="1"/>
        <v>170510</v>
      </c>
      <c r="C106" s="94" t="s">
        <v>142</v>
      </c>
      <c r="D106" s="94">
        <v>170510339</v>
      </c>
      <c r="E106" s="38">
        <v>1</v>
      </c>
      <c r="F106" s="98" t="s">
        <v>182</v>
      </c>
      <c r="G106" s="98">
        <v>2</v>
      </c>
      <c r="H106" s="99">
        <v>163</v>
      </c>
      <c r="I106" s="99">
        <v>59</v>
      </c>
      <c r="J106" s="94">
        <v>3511</v>
      </c>
      <c r="K106" s="99">
        <v>18.1</v>
      </c>
      <c r="L106" s="99">
        <v>9.4</v>
      </c>
      <c r="M106" s="94">
        <v>145</v>
      </c>
      <c r="N106" s="94"/>
      <c r="O106" s="94">
        <v>41</v>
      </c>
      <c r="P106" s="103"/>
      <c r="Q106" s="103" t="s">
        <v>183</v>
      </c>
    </row>
    <row r="107" ht="14.25" customHeight="1" spans="1:17">
      <c r="A107" s="87">
        <v>42</v>
      </c>
      <c r="B107" s="87" t="str">
        <f t="shared" si="1"/>
        <v>170510</v>
      </c>
      <c r="C107" s="94" t="s">
        <v>142</v>
      </c>
      <c r="D107" s="94">
        <v>170510338</v>
      </c>
      <c r="E107" s="38">
        <v>1</v>
      </c>
      <c r="F107" s="98" t="s">
        <v>184</v>
      </c>
      <c r="G107" s="98">
        <v>2</v>
      </c>
      <c r="H107" s="99">
        <v>165.2</v>
      </c>
      <c r="I107" s="99">
        <v>55.7</v>
      </c>
      <c r="J107" s="94">
        <v>2739</v>
      </c>
      <c r="K107" s="99">
        <v>10.7</v>
      </c>
      <c r="L107" s="99">
        <v>9.8</v>
      </c>
      <c r="M107" s="94">
        <v>144</v>
      </c>
      <c r="N107" s="94"/>
      <c r="O107" s="94">
        <v>40</v>
      </c>
      <c r="P107" s="103"/>
      <c r="Q107" s="103" t="s">
        <v>27</v>
      </c>
    </row>
    <row r="108" ht="14.25" customHeight="1" spans="1:18">
      <c r="A108" s="87">
        <v>42</v>
      </c>
      <c r="B108" s="87" t="str">
        <f t="shared" si="1"/>
        <v>170530</v>
      </c>
      <c r="C108" s="101" t="s">
        <v>185</v>
      </c>
      <c r="D108" s="101" t="s">
        <v>186</v>
      </c>
      <c r="E108" s="102">
        <v>1</v>
      </c>
      <c r="F108" s="101" t="s">
        <v>187</v>
      </c>
      <c r="G108" s="98">
        <v>2</v>
      </c>
      <c r="H108" s="96">
        <v>159.4</v>
      </c>
      <c r="I108" s="96">
        <v>51.2</v>
      </c>
      <c r="J108" s="38">
        <v>2472</v>
      </c>
      <c r="K108" s="96">
        <v>18.6</v>
      </c>
      <c r="L108" s="96">
        <v>9.7</v>
      </c>
      <c r="M108" s="38">
        <v>170</v>
      </c>
      <c r="N108" s="38"/>
      <c r="O108" s="38">
        <v>35</v>
      </c>
      <c r="P108" s="97"/>
      <c r="Q108" s="97" t="s">
        <v>188</v>
      </c>
      <c r="R108" s="31"/>
    </row>
    <row r="109" ht="14.25" customHeight="1" spans="1:18">
      <c r="A109" s="87">
        <v>42</v>
      </c>
      <c r="B109" s="87" t="str">
        <f t="shared" si="1"/>
        <v>170530</v>
      </c>
      <c r="C109" s="101" t="s">
        <v>185</v>
      </c>
      <c r="D109" s="101" t="s">
        <v>189</v>
      </c>
      <c r="E109" s="102">
        <v>1</v>
      </c>
      <c r="F109" s="101" t="s">
        <v>190</v>
      </c>
      <c r="G109" s="98">
        <v>2</v>
      </c>
      <c r="H109" s="96">
        <v>161.3</v>
      </c>
      <c r="I109" s="96">
        <v>51.2</v>
      </c>
      <c r="J109" s="38">
        <v>2293</v>
      </c>
      <c r="K109" s="96">
        <v>11.8</v>
      </c>
      <c r="L109" s="96">
        <v>10.1</v>
      </c>
      <c r="M109" s="38">
        <v>145</v>
      </c>
      <c r="N109" s="38"/>
      <c r="O109" s="38">
        <v>35</v>
      </c>
      <c r="P109" s="97"/>
      <c r="Q109" s="97" t="s">
        <v>57</v>
      </c>
      <c r="R109" s="31"/>
    </row>
    <row r="110" ht="14.25" customHeight="1" spans="1:18">
      <c r="A110" s="87">
        <v>42</v>
      </c>
      <c r="B110" s="87" t="str">
        <f t="shared" si="1"/>
        <v>170530</v>
      </c>
      <c r="C110" s="101" t="s">
        <v>185</v>
      </c>
      <c r="D110" s="101" t="s">
        <v>191</v>
      </c>
      <c r="E110" s="102">
        <v>1</v>
      </c>
      <c r="F110" s="101" t="s">
        <v>192</v>
      </c>
      <c r="G110" s="98">
        <v>2</v>
      </c>
      <c r="H110" s="96">
        <v>166</v>
      </c>
      <c r="I110" s="96">
        <v>48.2</v>
      </c>
      <c r="J110" s="38">
        <v>1904</v>
      </c>
      <c r="K110" s="96">
        <v>9.2</v>
      </c>
      <c r="L110" s="96">
        <v>10.5</v>
      </c>
      <c r="M110" s="38">
        <v>160</v>
      </c>
      <c r="N110" s="38"/>
      <c r="O110" s="38">
        <v>34</v>
      </c>
      <c r="P110" s="97"/>
      <c r="Q110" s="97" t="s">
        <v>193</v>
      </c>
      <c r="R110" s="31"/>
    </row>
    <row r="111" ht="14.25" customHeight="1" spans="1:18">
      <c r="A111" s="87">
        <v>42</v>
      </c>
      <c r="B111" s="87" t="str">
        <f t="shared" si="1"/>
        <v>170530</v>
      </c>
      <c r="C111" s="101" t="s">
        <v>185</v>
      </c>
      <c r="D111" s="101" t="s">
        <v>194</v>
      </c>
      <c r="E111" s="102">
        <v>1</v>
      </c>
      <c r="F111" s="101" t="s">
        <v>195</v>
      </c>
      <c r="G111" s="98">
        <v>2</v>
      </c>
      <c r="H111" s="96">
        <v>154.1</v>
      </c>
      <c r="I111" s="96">
        <v>45.9</v>
      </c>
      <c r="J111" s="38">
        <v>2271</v>
      </c>
      <c r="K111" s="96">
        <v>8.2</v>
      </c>
      <c r="L111" s="96">
        <v>9.1</v>
      </c>
      <c r="M111" s="38">
        <v>156</v>
      </c>
      <c r="N111" s="38"/>
      <c r="O111" s="38">
        <v>42</v>
      </c>
      <c r="P111" s="97"/>
      <c r="Q111" s="97" t="s">
        <v>116</v>
      </c>
      <c r="R111" s="31"/>
    </row>
    <row r="112" ht="14.25" customHeight="1" spans="1:18">
      <c r="A112" s="87">
        <v>42</v>
      </c>
      <c r="B112" s="87" t="str">
        <f t="shared" si="1"/>
        <v>170530</v>
      </c>
      <c r="C112" s="101" t="s">
        <v>185</v>
      </c>
      <c r="D112" s="101" t="s">
        <v>196</v>
      </c>
      <c r="E112" s="102">
        <v>1</v>
      </c>
      <c r="F112" s="101" t="s">
        <v>197</v>
      </c>
      <c r="G112" s="98">
        <v>2</v>
      </c>
      <c r="H112" s="96">
        <v>154.3</v>
      </c>
      <c r="I112" s="96">
        <v>41.9</v>
      </c>
      <c r="J112" s="38">
        <v>2314</v>
      </c>
      <c r="K112" s="96">
        <v>21.7</v>
      </c>
      <c r="L112" s="96">
        <v>9</v>
      </c>
      <c r="M112" s="38">
        <v>170</v>
      </c>
      <c r="N112" s="38"/>
      <c r="O112" s="38">
        <v>37</v>
      </c>
      <c r="P112" s="97"/>
      <c r="Q112" s="97" t="s">
        <v>40</v>
      </c>
      <c r="R112" s="31"/>
    </row>
    <row r="113" ht="14.25" customHeight="1" spans="1:18">
      <c r="A113" s="87">
        <v>42</v>
      </c>
      <c r="B113" s="87" t="str">
        <f t="shared" si="1"/>
        <v>170530</v>
      </c>
      <c r="C113" s="101" t="s">
        <v>185</v>
      </c>
      <c r="D113" s="101" t="s">
        <v>198</v>
      </c>
      <c r="E113" s="102">
        <v>1</v>
      </c>
      <c r="F113" s="101" t="s">
        <v>199</v>
      </c>
      <c r="G113" s="98">
        <v>2</v>
      </c>
      <c r="H113" s="96">
        <v>165</v>
      </c>
      <c r="I113" s="96">
        <v>71.5</v>
      </c>
      <c r="J113" s="38">
        <v>2285</v>
      </c>
      <c r="K113" s="96">
        <v>7.4</v>
      </c>
      <c r="L113" s="96">
        <v>10</v>
      </c>
      <c r="M113" s="38">
        <v>161</v>
      </c>
      <c r="N113" s="38"/>
      <c r="O113" s="38">
        <v>40</v>
      </c>
      <c r="P113" s="97"/>
      <c r="Q113" s="97" t="s">
        <v>200</v>
      </c>
      <c r="R113" s="31"/>
    </row>
    <row r="114" ht="14.25" customHeight="1" spans="1:18">
      <c r="A114" s="87">
        <v>42</v>
      </c>
      <c r="B114" s="87" t="str">
        <f t="shared" si="1"/>
        <v>170530</v>
      </c>
      <c r="C114" s="101" t="s">
        <v>185</v>
      </c>
      <c r="D114" s="101" t="s">
        <v>201</v>
      </c>
      <c r="E114" s="102">
        <v>1</v>
      </c>
      <c r="F114" s="101" t="s">
        <v>202</v>
      </c>
      <c r="G114" s="98">
        <v>2</v>
      </c>
      <c r="H114" s="96">
        <v>171.4</v>
      </c>
      <c r="I114" s="96">
        <v>59.6</v>
      </c>
      <c r="J114" s="38">
        <v>2371</v>
      </c>
      <c r="K114" s="96">
        <v>8.1</v>
      </c>
      <c r="L114" s="96">
        <v>9.5</v>
      </c>
      <c r="M114" s="38">
        <v>168</v>
      </c>
      <c r="N114" s="38"/>
      <c r="O114" s="38">
        <v>35</v>
      </c>
      <c r="P114" s="97"/>
      <c r="Q114" s="97" t="s">
        <v>126</v>
      </c>
      <c r="R114" s="31"/>
    </row>
    <row r="115" ht="14.25" customHeight="1" spans="1:18">
      <c r="A115" s="87">
        <v>42</v>
      </c>
      <c r="B115" s="87" t="str">
        <f t="shared" si="1"/>
        <v>170530</v>
      </c>
      <c r="C115" s="101" t="s">
        <v>185</v>
      </c>
      <c r="D115" s="101" t="s">
        <v>203</v>
      </c>
      <c r="E115" s="102">
        <v>1</v>
      </c>
      <c r="F115" s="101" t="s">
        <v>204</v>
      </c>
      <c r="G115" s="98">
        <v>2</v>
      </c>
      <c r="H115" s="96">
        <v>173.6</v>
      </c>
      <c r="I115" s="96">
        <v>49.3</v>
      </c>
      <c r="J115" s="38">
        <v>2158</v>
      </c>
      <c r="K115" s="96">
        <v>10.2</v>
      </c>
      <c r="L115" s="96">
        <v>11</v>
      </c>
      <c r="M115" s="38">
        <v>153</v>
      </c>
      <c r="N115" s="38"/>
      <c r="O115" s="38">
        <v>30</v>
      </c>
      <c r="P115" s="97"/>
      <c r="Q115" s="97" t="s">
        <v>19</v>
      </c>
      <c r="R115" s="31"/>
    </row>
    <row r="116" ht="14.25" customHeight="1" spans="1:18">
      <c r="A116" s="87">
        <v>42</v>
      </c>
      <c r="B116" s="87" t="str">
        <f t="shared" si="1"/>
        <v>170530</v>
      </c>
      <c r="C116" s="101" t="s">
        <v>185</v>
      </c>
      <c r="D116" s="101" t="s">
        <v>205</v>
      </c>
      <c r="E116" s="102">
        <v>1</v>
      </c>
      <c r="F116" s="101" t="s">
        <v>206</v>
      </c>
      <c r="G116" s="98">
        <v>2</v>
      </c>
      <c r="H116" s="96">
        <v>162</v>
      </c>
      <c r="I116" s="96">
        <v>49</v>
      </c>
      <c r="J116" s="38">
        <v>3010</v>
      </c>
      <c r="K116" s="96">
        <v>18.9</v>
      </c>
      <c r="L116" s="96">
        <v>9.1</v>
      </c>
      <c r="M116" s="38">
        <v>171</v>
      </c>
      <c r="N116" s="38"/>
      <c r="O116" s="38">
        <v>30</v>
      </c>
      <c r="P116" s="97"/>
      <c r="Q116" s="97" t="s">
        <v>29</v>
      </c>
      <c r="R116" s="31"/>
    </row>
    <row r="117" ht="14.25" customHeight="1" spans="1:18">
      <c r="A117" s="87">
        <v>42</v>
      </c>
      <c r="B117" s="87" t="str">
        <f t="shared" si="1"/>
        <v>170530</v>
      </c>
      <c r="C117" s="101" t="s">
        <v>185</v>
      </c>
      <c r="D117" s="101" t="s">
        <v>207</v>
      </c>
      <c r="E117" s="102">
        <v>1</v>
      </c>
      <c r="F117" s="101" t="s">
        <v>208</v>
      </c>
      <c r="G117" s="98">
        <v>2</v>
      </c>
      <c r="H117" s="96">
        <v>177.3</v>
      </c>
      <c r="I117" s="96">
        <v>64.8</v>
      </c>
      <c r="J117" s="38">
        <v>3759</v>
      </c>
      <c r="K117" s="96">
        <v>20.3</v>
      </c>
      <c r="L117" s="96">
        <v>8.8</v>
      </c>
      <c r="M117" s="38">
        <v>153</v>
      </c>
      <c r="N117" s="38"/>
      <c r="O117" s="38">
        <v>45</v>
      </c>
      <c r="P117" s="97"/>
      <c r="Q117" s="97" t="s">
        <v>209</v>
      </c>
      <c r="R117" s="31"/>
    </row>
    <row r="118" ht="14.25" customHeight="1" spans="1:18">
      <c r="A118" s="87">
        <v>42</v>
      </c>
      <c r="B118" s="87" t="str">
        <f t="shared" si="1"/>
        <v>170530</v>
      </c>
      <c r="C118" s="101" t="s">
        <v>185</v>
      </c>
      <c r="D118" s="101" t="s">
        <v>210</v>
      </c>
      <c r="E118" s="102">
        <v>1</v>
      </c>
      <c r="F118" s="101" t="s">
        <v>211</v>
      </c>
      <c r="G118" s="98">
        <v>2</v>
      </c>
      <c r="H118" s="96">
        <v>175.2</v>
      </c>
      <c r="I118" s="96">
        <v>55</v>
      </c>
      <c r="J118" s="38">
        <v>2952</v>
      </c>
      <c r="K118" s="96">
        <v>14.6</v>
      </c>
      <c r="L118" s="96">
        <v>8.7</v>
      </c>
      <c r="M118" s="38">
        <v>180</v>
      </c>
      <c r="N118" s="38"/>
      <c r="O118" s="38">
        <v>35</v>
      </c>
      <c r="P118" s="97"/>
      <c r="Q118" s="97" t="s">
        <v>212</v>
      </c>
      <c r="R118" s="31"/>
    </row>
    <row r="119" ht="14.25" customHeight="1" spans="1:18">
      <c r="A119" s="87">
        <v>42</v>
      </c>
      <c r="B119" s="87" t="str">
        <f t="shared" si="1"/>
        <v>170530</v>
      </c>
      <c r="C119" s="101" t="s">
        <v>185</v>
      </c>
      <c r="D119" s="101" t="s">
        <v>213</v>
      </c>
      <c r="E119" s="102">
        <v>1</v>
      </c>
      <c r="F119" s="101" t="s">
        <v>214</v>
      </c>
      <c r="G119" s="98">
        <v>2</v>
      </c>
      <c r="H119" s="96">
        <v>160</v>
      </c>
      <c r="I119" s="96">
        <v>54.6</v>
      </c>
      <c r="J119" s="38">
        <v>2804</v>
      </c>
      <c r="K119" s="96">
        <v>4.2</v>
      </c>
      <c r="L119" s="96">
        <v>10.3</v>
      </c>
      <c r="M119" s="38">
        <v>126</v>
      </c>
      <c r="N119" s="38"/>
      <c r="O119" s="38">
        <v>47</v>
      </c>
      <c r="P119" s="97"/>
      <c r="Q119" s="97" t="s">
        <v>148</v>
      </c>
      <c r="R119" s="31"/>
    </row>
    <row r="120" ht="14.25" customHeight="1" spans="1:18">
      <c r="A120" s="87">
        <v>42</v>
      </c>
      <c r="B120" s="87" t="str">
        <f t="shared" si="1"/>
        <v>170530</v>
      </c>
      <c r="C120" s="101" t="s">
        <v>185</v>
      </c>
      <c r="D120" s="101" t="s">
        <v>215</v>
      </c>
      <c r="E120" s="102">
        <v>1</v>
      </c>
      <c r="F120" s="101" t="s">
        <v>216</v>
      </c>
      <c r="G120" s="98">
        <v>2</v>
      </c>
      <c r="H120" s="96">
        <v>157.7</v>
      </c>
      <c r="I120" s="96">
        <v>49.1</v>
      </c>
      <c r="J120" s="38">
        <v>2712</v>
      </c>
      <c r="K120" s="96">
        <v>15.3</v>
      </c>
      <c r="L120" s="96">
        <v>9.6</v>
      </c>
      <c r="M120" s="38">
        <v>148</v>
      </c>
      <c r="N120" s="38"/>
      <c r="O120" s="38">
        <v>52</v>
      </c>
      <c r="P120" s="97"/>
      <c r="Q120" s="97" t="s">
        <v>19</v>
      </c>
      <c r="R120" s="31"/>
    </row>
    <row r="121" ht="14.25" customHeight="1" spans="1:18">
      <c r="A121" s="87">
        <v>42</v>
      </c>
      <c r="B121" s="87" t="str">
        <f t="shared" si="1"/>
        <v>170530</v>
      </c>
      <c r="C121" s="101" t="s">
        <v>185</v>
      </c>
      <c r="D121" s="101" t="s">
        <v>217</v>
      </c>
      <c r="E121" s="102">
        <v>1</v>
      </c>
      <c r="F121" s="101" t="s">
        <v>218</v>
      </c>
      <c r="G121" s="98">
        <v>2</v>
      </c>
      <c r="H121" s="96">
        <v>164.4</v>
      </c>
      <c r="I121" s="96">
        <v>60.9</v>
      </c>
      <c r="J121" s="38">
        <v>2386</v>
      </c>
      <c r="K121" s="96">
        <v>18.9</v>
      </c>
      <c r="L121" s="96">
        <v>10.1</v>
      </c>
      <c r="M121" s="38">
        <v>151</v>
      </c>
      <c r="N121" s="38"/>
      <c r="O121" s="38">
        <v>38</v>
      </c>
      <c r="P121" s="97"/>
      <c r="Q121" s="97" t="s">
        <v>92</v>
      </c>
      <c r="R121" s="31"/>
    </row>
    <row r="122" ht="14.25" customHeight="1" spans="1:18">
      <c r="A122" s="87">
        <v>42</v>
      </c>
      <c r="B122" s="87" t="str">
        <f t="shared" si="1"/>
        <v>170530</v>
      </c>
      <c r="C122" s="101" t="s">
        <v>185</v>
      </c>
      <c r="D122" s="101" t="s">
        <v>219</v>
      </c>
      <c r="E122" s="102">
        <v>1</v>
      </c>
      <c r="F122" s="101" t="s">
        <v>220</v>
      </c>
      <c r="G122" s="98">
        <v>2</v>
      </c>
      <c r="H122" s="96">
        <v>165.6</v>
      </c>
      <c r="I122" s="96">
        <v>51.8</v>
      </c>
      <c r="J122" s="38">
        <v>2289</v>
      </c>
      <c r="K122" s="96">
        <v>1.8</v>
      </c>
      <c r="L122" s="96">
        <v>9.1</v>
      </c>
      <c r="M122" s="38">
        <v>164</v>
      </c>
      <c r="N122" s="38"/>
      <c r="O122" s="38">
        <v>30</v>
      </c>
      <c r="P122" s="97"/>
      <c r="Q122" s="97" t="s">
        <v>140</v>
      </c>
      <c r="R122" s="31"/>
    </row>
    <row r="123" ht="14.25" customHeight="1" spans="1:18">
      <c r="A123" s="87">
        <v>42</v>
      </c>
      <c r="B123" s="87" t="str">
        <f t="shared" si="1"/>
        <v>170530</v>
      </c>
      <c r="C123" s="101" t="s">
        <v>185</v>
      </c>
      <c r="D123" s="101" t="s">
        <v>221</v>
      </c>
      <c r="E123" s="102">
        <v>1</v>
      </c>
      <c r="F123" s="101" t="s">
        <v>222</v>
      </c>
      <c r="G123" s="98">
        <v>2</v>
      </c>
      <c r="H123" s="96">
        <v>163</v>
      </c>
      <c r="I123" s="96">
        <v>55</v>
      </c>
      <c r="J123" s="38">
        <v>2961</v>
      </c>
      <c r="K123" s="96">
        <v>17.6</v>
      </c>
      <c r="L123" s="96">
        <v>9.1</v>
      </c>
      <c r="M123" s="38">
        <v>168</v>
      </c>
      <c r="N123" s="38"/>
      <c r="O123" s="38">
        <v>40</v>
      </c>
      <c r="P123" s="97"/>
      <c r="Q123" s="97" t="s">
        <v>85</v>
      </c>
      <c r="R123" s="31"/>
    </row>
    <row r="124" ht="14.25" customHeight="1" spans="1:18">
      <c r="A124" s="87">
        <v>42</v>
      </c>
      <c r="B124" s="87" t="str">
        <f t="shared" si="1"/>
        <v>170530</v>
      </c>
      <c r="C124" s="101" t="s">
        <v>185</v>
      </c>
      <c r="D124" s="101" t="s">
        <v>223</v>
      </c>
      <c r="E124" s="102">
        <v>1</v>
      </c>
      <c r="F124" s="101" t="s">
        <v>224</v>
      </c>
      <c r="G124" s="98">
        <v>2</v>
      </c>
      <c r="H124" s="96">
        <v>155.5</v>
      </c>
      <c r="I124" s="96">
        <v>39.3</v>
      </c>
      <c r="J124" s="38">
        <v>1741</v>
      </c>
      <c r="K124" s="96">
        <v>2.4</v>
      </c>
      <c r="L124" s="96">
        <v>9.5</v>
      </c>
      <c r="M124" s="38">
        <v>126</v>
      </c>
      <c r="N124" s="38"/>
      <c r="O124" s="38">
        <v>30</v>
      </c>
      <c r="P124" s="97"/>
      <c r="Q124" s="97" t="s">
        <v>225</v>
      </c>
      <c r="R124" s="31"/>
    </row>
    <row r="125" ht="14.25" customHeight="1" spans="1:18">
      <c r="A125" s="87">
        <v>42</v>
      </c>
      <c r="B125" s="87" t="str">
        <f t="shared" si="1"/>
        <v>170530</v>
      </c>
      <c r="C125" s="101" t="s">
        <v>185</v>
      </c>
      <c r="D125" s="101" t="s">
        <v>226</v>
      </c>
      <c r="E125" s="102">
        <v>1</v>
      </c>
      <c r="F125" s="101" t="s">
        <v>227</v>
      </c>
      <c r="G125" s="98">
        <v>2</v>
      </c>
      <c r="H125" s="96">
        <v>167.6</v>
      </c>
      <c r="I125" s="96">
        <v>50.1</v>
      </c>
      <c r="J125" s="38">
        <v>1955</v>
      </c>
      <c r="K125" s="96">
        <v>6.1</v>
      </c>
      <c r="L125" s="96">
        <v>10.2</v>
      </c>
      <c r="M125" s="38">
        <v>158</v>
      </c>
      <c r="N125" s="38"/>
      <c r="O125" s="38">
        <v>36</v>
      </c>
      <c r="P125" s="97"/>
      <c r="Q125" s="97" t="s">
        <v>33</v>
      </c>
      <c r="R125" s="31"/>
    </row>
    <row r="126" ht="14.25" customHeight="1" spans="1:18">
      <c r="A126" s="87">
        <v>42</v>
      </c>
      <c r="B126" s="87" t="str">
        <f t="shared" si="1"/>
        <v>170530</v>
      </c>
      <c r="C126" s="101" t="s">
        <v>185</v>
      </c>
      <c r="D126" s="101" t="s">
        <v>228</v>
      </c>
      <c r="E126" s="102">
        <v>1</v>
      </c>
      <c r="F126" s="101" t="s">
        <v>229</v>
      </c>
      <c r="G126" s="98">
        <v>2</v>
      </c>
      <c r="H126" s="96">
        <v>160</v>
      </c>
      <c r="I126" s="96">
        <v>53</v>
      </c>
      <c r="J126" s="38">
        <v>2570</v>
      </c>
      <c r="K126" s="96">
        <v>18.6</v>
      </c>
      <c r="L126" s="96">
        <v>9.7</v>
      </c>
      <c r="M126" s="38">
        <v>146</v>
      </c>
      <c r="N126" s="38"/>
      <c r="O126" s="38">
        <v>40</v>
      </c>
      <c r="P126" s="97"/>
      <c r="Q126" s="97" t="s">
        <v>230</v>
      </c>
      <c r="R126" s="31"/>
    </row>
    <row r="127" ht="14.25" customHeight="1" spans="1:18">
      <c r="A127" s="87">
        <v>42</v>
      </c>
      <c r="B127" s="87" t="str">
        <f t="shared" si="1"/>
        <v>170530</v>
      </c>
      <c r="C127" s="101" t="s">
        <v>185</v>
      </c>
      <c r="D127" s="101" t="s">
        <v>231</v>
      </c>
      <c r="E127" s="102">
        <v>1</v>
      </c>
      <c r="F127" s="101" t="s">
        <v>232</v>
      </c>
      <c r="G127" s="98">
        <v>2</v>
      </c>
      <c r="H127" s="96">
        <v>160.7</v>
      </c>
      <c r="I127" s="96">
        <v>54.6</v>
      </c>
      <c r="J127" s="38">
        <v>2413</v>
      </c>
      <c r="K127" s="96">
        <v>15.3</v>
      </c>
      <c r="L127" s="96">
        <v>10.1</v>
      </c>
      <c r="M127" s="38">
        <v>145</v>
      </c>
      <c r="N127" s="38"/>
      <c r="O127" s="38">
        <v>36</v>
      </c>
      <c r="P127" s="97"/>
      <c r="Q127" s="97" t="s">
        <v>81</v>
      </c>
      <c r="R127" s="31"/>
    </row>
    <row r="128" ht="14.25" customHeight="1" spans="1:18">
      <c r="A128" s="87">
        <v>42</v>
      </c>
      <c r="B128" s="87" t="str">
        <f t="shared" si="1"/>
        <v>170530</v>
      </c>
      <c r="C128" s="101" t="s">
        <v>185</v>
      </c>
      <c r="D128" s="101" t="s">
        <v>233</v>
      </c>
      <c r="E128" s="102">
        <v>1</v>
      </c>
      <c r="F128" s="101" t="s">
        <v>234</v>
      </c>
      <c r="G128" s="98">
        <v>2</v>
      </c>
      <c r="H128" s="96">
        <v>158.4</v>
      </c>
      <c r="I128" s="96">
        <v>59.7</v>
      </c>
      <c r="J128" s="38">
        <v>2974</v>
      </c>
      <c r="K128" s="96">
        <v>16.2</v>
      </c>
      <c r="L128" s="96">
        <v>8.5</v>
      </c>
      <c r="M128" s="38">
        <v>154</v>
      </c>
      <c r="N128" s="38"/>
      <c r="O128" s="38">
        <v>43</v>
      </c>
      <c r="P128" s="97"/>
      <c r="Q128" s="97" t="s">
        <v>42</v>
      </c>
      <c r="R128" s="31"/>
    </row>
    <row r="129" ht="14.25" customHeight="1" spans="1:18">
      <c r="A129" s="87">
        <v>42</v>
      </c>
      <c r="B129" s="87" t="str">
        <f t="shared" si="1"/>
        <v>170530</v>
      </c>
      <c r="C129" s="101" t="s">
        <v>185</v>
      </c>
      <c r="D129" s="101" t="s">
        <v>235</v>
      </c>
      <c r="E129" s="102">
        <v>1</v>
      </c>
      <c r="F129" s="101" t="s">
        <v>236</v>
      </c>
      <c r="G129" s="98">
        <v>2</v>
      </c>
      <c r="H129" s="96">
        <v>161</v>
      </c>
      <c r="I129" s="96">
        <v>53.9</v>
      </c>
      <c r="J129" s="38">
        <v>3288</v>
      </c>
      <c r="K129" s="96">
        <v>13.7</v>
      </c>
      <c r="L129" s="96">
        <v>8.7</v>
      </c>
      <c r="M129" s="38">
        <v>153</v>
      </c>
      <c r="N129" s="38"/>
      <c r="O129" s="38">
        <v>40</v>
      </c>
      <c r="P129" s="97"/>
      <c r="Q129" s="97" t="s">
        <v>33</v>
      </c>
      <c r="R129" s="31"/>
    </row>
    <row r="130" ht="14.25" customHeight="1" spans="1:18">
      <c r="A130" s="87">
        <v>42</v>
      </c>
      <c r="B130" s="87" t="str">
        <f t="shared" si="1"/>
        <v>170530</v>
      </c>
      <c r="C130" s="101" t="s">
        <v>185</v>
      </c>
      <c r="D130" s="101" t="s">
        <v>237</v>
      </c>
      <c r="E130" s="102">
        <v>1</v>
      </c>
      <c r="F130" s="101" t="s">
        <v>238</v>
      </c>
      <c r="G130" s="98">
        <v>2</v>
      </c>
      <c r="H130" s="96">
        <v>171.5</v>
      </c>
      <c r="I130" s="96">
        <v>45.5</v>
      </c>
      <c r="J130" s="38">
        <v>3615</v>
      </c>
      <c r="K130" s="96">
        <v>6.5</v>
      </c>
      <c r="L130" s="96">
        <v>8.9</v>
      </c>
      <c r="M130" s="38">
        <v>146</v>
      </c>
      <c r="N130" s="38"/>
      <c r="O130" s="38">
        <v>49</v>
      </c>
      <c r="P130" s="97"/>
      <c r="Q130" s="97" t="s">
        <v>239</v>
      </c>
      <c r="R130" s="31"/>
    </row>
    <row r="131" ht="14.25" customHeight="1" spans="1:18">
      <c r="A131" s="87">
        <v>42</v>
      </c>
      <c r="B131" s="87" t="str">
        <f t="shared" ref="B131:B194" si="2">LEFT(D131,6)</f>
        <v>170530</v>
      </c>
      <c r="C131" s="101" t="s">
        <v>185</v>
      </c>
      <c r="D131" s="101" t="s">
        <v>240</v>
      </c>
      <c r="E131" s="102">
        <v>1</v>
      </c>
      <c r="F131" s="101" t="s">
        <v>241</v>
      </c>
      <c r="G131" s="98">
        <v>2</v>
      </c>
      <c r="H131" s="96">
        <v>178.7</v>
      </c>
      <c r="I131" s="96">
        <v>46</v>
      </c>
      <c r="J131" s="38">
        <v>2393</v>
      </c>
      <c r="K131" s="96">
        <v>-2.6</v>
      </c>
      <c r="L131" s="96">
        <v>9.5</v>
      </c>
      <c r="M131" s="38">
        <v>152</v>
      </c>
      <c r="N131" s="38"/>
      <c r="O131" s="38">
        <v>45</v>
      </c>
      <c r="P131" s="97"/>
      <c r="Q131" s="97" t="s">
        <v>71</v>
      </c>
      <c r="R131" s="31"/>
    </row>
    <row r="132" ht="14.25" customHeight="1" spans="1:18">
      <c r="A132" s="87">
        <v>42</v>
      </c>
      <c r="B132" s="87" t="str">
        <f t="shared" si="2"/>
        <v>170530</v>
      </c>
      <c r="C132" s="101" t="s">
        <v>185</v>
      </c>
      <c r="D132" s="101" t="s">
        <v>242</v>
      </c>
      <c r="E132" s="102">
        <v>1</v>
      </c>
      <c r="F132" s="101" t="s">
        <v>243</v>
      </c>
      <c r="G132" s="98">
        <v>2</v>
      </c>
      <c r="H132" s="96">
        <v>170.5</v>
      </c>
      <c r="I132" s="96">
        <v>59</v>
      </c>
      <c r="J132" s="38">
        <v>2864</v>
      </c>
      <c r="K132" s="96">
        <v>16.5</v>
      </c>
      <c r="L132" s="96">
        <v>9.3</v>
      </c>
      <c r="M132" s="38">
        <v>154</v>
      </c>
      <c r="N132" s="38"/>
      <c r="O132" s="38">
        <v>41</v>
      </c>
      <c r="P132" s="97"/>
      <c r="Q132" s="97" t="s">
        <v>71</v>
      </c>
      <c r="R132" s="31"/>
    </row>
    <row r="133" ht="14.25" customHeight="1" spans="1:18">
      <c r="A133" s="87">
        <v>42</v>
      </c>
      <c r="B133" s="87" t="str">
        <f t="shared" si="2"/>
        <v>170530</v>
      </c>
      <c r="C133" s="101" t="s">
        <v>185</v>
      </c>
      <c r="D133" s="101" t="s">
        <v>244</v>
      </c>
      <c r="E133" s="102">
        <v>1</v>
      </c>
      <c r="F133" s="101" t="s">
        <v>245</v>
      </c>
      <c r="G133" s="98">
        <v>2</v>
      </c>
      <c r="H133" s="96">
        <v>171</v>
      </c>
      <c r="I133" s="96">
        <v>66.2</v>
      </c>
      <c r="J133" s="38">
        <v>3360</v>
      </c>
      <c r="K133" s="96">
        <v>7.7</v>
      </c>
      <c r="L133" s="96">
        <v>9.3</v>
      </c>
      <c r="M133" s="38">
        <v>150</v>
      </c>
      <c r="N133" s="38"/>
      <c r="O133" s="38">
        <v>45</v>
      </c>
      <c r="P133" s="97"/>
      <c r="Q133" s="97" t="s">
        <v>33</v>
      </c>
      <c r="R133" s="31"/>
    </row>
    <row r="134" ht="14.25" customHeight="1" spans="1:18">
      <c r="A134" s="87">
        <v>42</v>
      </c>
      <c r="B134" s="87" t="str">
        <f t="shared" si="2"/>
        <v>170530</v>
      </c>
      <c r="C134" s="101" t="s">
        <v>185</v>
      </c>
      <c r="D134" s="101" t="s">
        <v>246</v>
      </c>
      <c r="E134" s="102">
        <v>1</v>
      </c>
      <c r="F134" s="101" t="s">
        <v>247</v>
      </c>
      <c r="G134" s="98">
        <v>2</v>
      </c>
      <c r="H134" s="96">
        <v>164.5</v>
      </c>
      <c r="I134" s="96">
        <v>42.9</v>
      </c>
      <c r="J134" s="38">
        <v>2740</v>
      </c>
      <c r="K134" s="96">
        <v>20.6</v>
      </c>
      <c r="L134" s="96">
        <v>9.3</v>
      </c>
      <c r="M134" s="38">
        <v>154</v>
      </c>
      <c r="N134" s="38"/>
      <c r="O134" s="38">
        <v>33</v>
      </c>
      <c r="P134" s="97"/>
      <c r="Q134" s="97" t="s">
        <v>75</v>
      </c>
      <c r="R134" s="31"/>
    </row>
    <row r="135" ht="14.25" customHeight="1" spans="1:18">
      <c r="A135" s="87">
        <v>42</v>
      </c>
      <c r="B135" s="87" t="str">
        <f t="shared" si="2"/>
        <v>170530</v>
      </c>
      <c r="C135" s="101" t="s">
        <v>185</v>
      </c>
      <c r="D135" s="101" t="s">
        <v>248</v>
      </c>
      <c r="E135" s="102">
        <v>1</v>
      </c>
      <c r="F135" s="101" t="s">
        <v>249</v>
      </c>
      <c r="G135" s="98">
        <v>2</v>
      </c>
      <c r="H135" s="96">
        <v>156.4</v>
      </c>
      <c r="I135" s="96">
        <v>50</v>
      </c>
      <c r="J135" s="38">
        <v>1992</v>
      </c>
      <c r="K135" s="96">
        <v>4.4</v>
      </c>
      <c r="L135" s="96">
        <v>10</v>
      </c>
      <c r="M135" s="38">
        <v>130</v>
      </c>
      <c r="N135" s="38"/>
      <c r="O135" s="38">
        <v>38</v>
      </c>
      <c r="P135" s="97"/>
      <c r="Q135" s="97" t="s">
        <v>33</v>
      </c>
      <c r="R135" s="31"/>
    </row>
    <row r="136" ht="14.25" customHeight="1" spans="1:18">
      <c r="A136" s="87">
        <v>42</v>
      </c>
      <c r="B136" s="87" t="str">
        <f t="shared" si="2"/>
        <v>170530</v>
      </c>
      <c r="C136" s="101" t="s">
        <v>185</v>
      </c>
      <c r="D136" s="101">
        <v>170530139</v>
      </c>
      <c r="E136" s="102">
        <v>1</v>
      </c>
      <c r="F136" s="101" t="s">
        <v>250</v>
      </c>
      <c r="G136" s="98">
        <v>2</v>
      </c>
      <c r="H136" s="96">
        <v>168</v>
      </c>
      <c r="I136" s="96">
        <v>44.8</v>
      </c>
      <c r="J136" s="38">
        <v>2939</v>
      </c>
      <c r="K136" s="96">
        <v>18.3</v>
      </c>
      <c r="L136" s="96">
        <v>9.1</v>
      </c>
      <c r="M136" s="38">
        <v>146</v>
      </c>
      <c r="N136" s="38"/>
      <c r="O136" s="38">
        <v>32</v>
      </c>
      <c r="P136" s="97"/>
      <c r="Q136" s="97" t="s">
        <v>251</v>
      </c>
      <c r="R136" s="31"/>
    </row>
    <row r="137" ht="14.25" customHeight="1" spans="1:18">
      <c r="A137" s="87">
        <v>42</v>
      </c>
      <c r="B137" s="87" t="str">
        <f t="shared" si="2"/>
        <v>170530</v>
      </c>
      <c r="C137" s="101" t="s">
        <v>185</v>
      </c>
      <c r="D137" s="101" t="s">
        <v>252</v>
      </c>
      <c r="E137" s="102">
        <v>1</v>
      </c>
      <c r="F137" s="101" t="s">
        <v>253</v>
      </c>
      <c r="G137" s="94">
        <v>1</v>
      </c>
      <c r="H137" s="96">
        <v>180.2</v>
      </c>
      <c r="I137" s="96">
        <v>81.4</v>
      </c>
      <c r="J137" s="38">
        <v>2259</v>
      </c>
      <c r="K137" s="96">
        <v>-6</v>
      </c>
      <c r="L137" s="96">
        <v>8</v>
      </c>
      <c r="M137" s="38">
        <v>180</v>
      </c>
      <c r="N137" s="38">
        <v>1</v>
      </c>
      <c r="O137" s="38"/>
      <c r="P137" s="97" t="s">
        <v>254</v>
      </c>
      <c r="Q137" s="97"/>
      <c r="R137" s="31"/>
    </row>
    <row r="138" ht="14.25" customHeight="1" spans="1:18">
      <c r="A138" s="87">
        <v>42</v>
      </c>
      <c r="B138" s="87" t="str">
        <f t="shared" si="2"/>
        <v>170530</v>
      </c>
      <c r="C138" s="101" t="s">
        <v>185</v>
      </c>
      <c r="D138" s="101" t="s">
        <v>255</v>
      </c>
      <c r="E138" s="102">
        <v>1</v>
      </c>
      <c r="F138" s="101" t="s">
        <v>256</v>
      </c>
      <c r="G138" s="94">
        <v>1</v>
      </c>
      <c r="H138" s="96">
        <v>172</v>
      </c>
      <c r="I138" s="96">
        <v>59.8</v>
      </c>
      <c r="J138" s="38">
        <v>2878</v>
      </c>
      <c r="K138" s="96">
        <v>14.2</v>
      </c>
      <c r="L138" s="96">
        <v>6.9</v>
      </c>
      <c r="M138" s="38">
        <v>215</v>
      </c>
      <c r="N138" s="38">
        <v>8</v>
      </c>
      <c r="O138" s="38"/>
      <c r="P138" s="97" t="s">
        <v>81</v>
      </c>
      <c r="Q138" s="97"/>
      <c r="R138" s="31"/>
    </row>
    <row r="139" ht="14.25" customHeight="1" spans="1:18">
      <c r="A139" s="87">
        <v>42</v>
      </c>
      <c r="B139" s="87" t="str">
        <f t="shared" si="2"/>
        <v>170530</v>
      </c>
      <c r="C139" s="101" t="s">
        <v>185</v>
      </c>
      <c r="D139" s="101" t="s">
        <v>257</v>
      </c>
      <c r="E139" s="102">
        <v>1</v>
      </c>
      <c r="F139" s="101" t="s">
        <v>258</v>
      </c>
      <c r="G139" s="94">
        <v>1</v>
      </c>
      <c r="H139" s="96">
        <v>180.5</v>
      </c>
      <c r="I139" s="96">
        <v>63.7</v>
      </c>
      <c r="J139" s="38">
        <v>3562</v>
      </c>
      <c r="K139" s="96">
        <v>19.6</v>
      </c>
      <c r="L139" s="96">
        <v>7.1</v>
      </c>
      <c r="M139" s="38">
        <v>220</v>
      </c>
      <c r="N139" s="38">
        <v>8</v>
      </c>
      <c r="O139" s="38"/>
      <c r="P139" s="97" t="s">
        <v>116</v>
      </c>
      <c r="Q139" s="97"/>
      <c r="R139" s="31"/>
    </row>
    <row r="140" ht="14.25" customHeight="1" spans="1:18">
      <c r="A140" s="87">
        <v>42</v>
      </c>
      <c r="B140" s="87" t="str">
        <f t="shared" si="2"/>
        <v>170530</v>
      </c>
      <c r="C140" s="101" t="s">
        <v>185</v>
      </c>
      <c r="D140" s="101" t="s">
        <v>259</v>
      </c>
      <c r="E140" s="102">
        <v>1</v>
      </c>
      <c r="F140" s="101" t="s">
        <v>260</v>
      </c>
      <c r="G140" s="94">
        <v>1</v>
      </c>
      <c r="H140" s="96">
        <v>176</v>
      </c>
      <c r="I140" s="96">
        <v>66.3</v>
      </c>
      <c r="J140" s="38">
        <v>3975</v>
      </c>
      <c r="K140" s="96">
        <v>10.9</v>
      </c>
      <c r="L140" s="96">
        <v>8.1</v>
      </c>
      <c r="M140" s="38">
        <v>170</v>
      </c>
      <c r="N140" s="38">
        <v>3</v>
      </c>
      <c r="O140" s="38"/>
      <c r="P140" s="97" t="s">
        <v>81</v>
      </c>
      <c r="Q140" s="97"/>
      <c r="R140" s="31"/>
    </row>
    <row r="141" ht="14.25" customHeight="1" spans="1:18">
      <c r="A141" s="87">
        <v>42</v>
      </c>
      <c r="B141" s="87" t="str">
        <f t="shared" si="2"/>
        <v>170530</v>
      </c>
      <c r="C141" s="101" t="s">
        <v>185</v>
      </c>
      <c r="D141" s="101" t="s">
        <v>261</v>
      </c>
      <c r="E141" s="102">
        <v>1</v>
      </c>
      <c r="F141" s="101" t="s">
        <v>262</v>
      </c>
      <c r="G141" s="94">
        <v>1</v>
      </c>
      <c r="H141" s="96">
        <v>182.7</v>
      </c>
      <c r="I141" s="96">
        <v>68.8</v>
      </c>
      <c r="J141" s="38">
        <v>3991</v>
      </c>
      <c r="K141" s="96">
        <v>10.9</v>
      </c>
      <c r="L141" s="96">
        <v>7.3</v>
      </c>
      <c r="M141" s="38">
        <v>215</v>
      </c>
      <c r="N141" s="38">
        <v>9</v>
      </c>
      <c r="O141" s="38"/>
      <c r="P141" s="97" t="s">
        <v>57</v>
      </c>
      <c r="Q141" s="97"/>
      <c r="R141" s="31"/>
    </row>
    <row r="142" ht="14.25" customHeight="1" spans="1:18">
      <c r="A142" s="87">
        <v>42</v>
      </c>
      <c r="B142" s="87" t="str">
        <f t="shared" si="2"/>
        <v>170530</v>
      </c>
      <c r="C142" s="101" t="s">
        <v>185</v>
      </c>
      <c r="D142" s="101" t="s">
        <v>263</v>
      </c>
      <c r="E142" s="102">
        <v>1</v>
      </c>
      <c r="F142" s="101" t="s">
        <v>264</v>
      </c>
      <c r="G142" s="94">
        <v>1</v>
      </c>
      <c r="H142" s="96">
        <v>182</v>
      </c>
      <c r="I142" s="96">
        <v>66</v>
      </c>
      <c r="J142" s="38">
        <v>4127</v>
      </c>
      <c r="K142" s="96">
        <v>28</v>
      </c>
      <c r="L142" s="96">
        <v>7.3</v>
      </c>
      <c r="M142" s="38">
        <v>240</v>
      </c>
      <c r="N142" s="38">
        <v>6</v>
      </c>
      <c r="O142" s="38"/>
      <c r="P142" s="97" t="s">
        <v>27</v>
      </c>
      <c r="Q142" s="97"/>
      <c r="R142" s="31"/>
    </row>
    <row r="143" ht="14.25" customHeight="1" spans="1:18">
      <c r="A143" s="87">
        <v>42</v>
      </c>
      <c r="B143" s="87" t="str">
        <f t="shared" si="2"/>
        <v>170530</v>
      </c>
      <c r="C143" s="101" t="s">
        <v>185</v>
      </c>
      <c r="D143" s="101" t="s">
        <v>265</v>
      </c>
      <c r="E143" s="102">
        <v>1</v>
      </c>
      <c r="F143" s="101" t="s">
        <v>266</v>
      </c>
      <c r="G143" s="94">
        <v>1</v>
      </c>
      <c r="H143" s="96">
        <v>183.3</v>
      </c>
      <c r="I143" s="96">
        <v>72.3</v>
      </c>
      <c r="J143" s="38">
        <v>3735</v>
      </c>
      <c r="K143" s="96">
        <v>19.5</v>
      </c>
      <c r="L143" s="96">
        <v>7.1</v>
      </c>
      <c r="M143" s="38">
        <v>210</v>
      </c>
      <c r="N143" s="38">
        <v>5</v>
      </c>
      <c r="O143" s="38"/>
      <c r="P143" s="97" t="s">
        <v>251</v>
      </c>
      <c r="Q143" s="97"/>
      <c r="R143" s="31"/>
    </row>
    <row r="144" ht="14.25" customHeight="1" spans="1:18">
      <c r="A144" s="87">
        <v>42</v>
      </c>
      <c r="B144" s="87" t="str">
        <f t="shared" si="2"/>
        <v>170530</v>
      </c>
      <c r="C144" s="101" t="s">
        <v>185</v>
      </c>
      <c r="D144" s="101" t="s">
        <v>267</v>
      </c>
      <c r="E144" s="102">
        <v>1</v>
      </c>
      <c r="F144" s="101" t="s">
        <v>268</v>
      </c>
      <c r="G144" s="94">
        <v>1</v>
      </c>
      <c r="H144" s="96">
        <v>173</v>
      </c>
      <c r="I144" s="96">
        <v>58.8</v>
      </c>
      <c r="J144" s="38">
        <v>3844</v>
      </c>
      <c r="K144" s="96">
        <v>-5.8</v>
      </c>
      <c r="L144" s="96">
        <v>7.2</v>
      </c>
      <c r="M144" s="38">
        <v>210</v>
      </c>
      <c r="N144" s="38">
        <v>7</v>
      </c>
      <c r="O144" s="38"/>
      <c r="P144" s="97" t="s">
        <v>60</v>
      </c>
      <c r="Q144" s="97"/>
      <c r="R144" s="31"/>
    </row>
    <row r="145" ht="14.25" customHeight="1" spans="1:18">
      <c r="A145" s="87">
        <v>42</v>
      </c>
      <c r="B145" s="87" t="str">
        <f t="shared" si="2"/>
        <v>170530</v>
      </c>
      <c r="C145" s="101" t="s">
        <v>185</v>
      </c>
      <c r="D145" s="101" t="s">
        <v>269</v>
      </c>
      <c r="E145" s="102">
        <v>1</v>
      </c>
      <c r="F145" s="101" t="s">
        <v>270</v>
      </c>
      <c r="G145" s="94">
        <v>1</v>
      </c>
      <c r="H145" s="96">
        <v>183.5</v>
      </c>
      <c r="I145" s="96">
        <v>79.8</v>
      </c>
      <c r="J145" s="38">
        <v>5636</v>
      </c>
      <c r="K145" s="96">
        <v>21.5</v>
      </c>
      <c r="L145" s="96">
        <v>8</v>
      </c>
      <c r="M145" s="38">
        <v>215</v>
      </c>
      <c r="N145" s="38">
        <v>5</v>
      </c>
      <c r="O145" s="38"/>
      <c r="P145" s="97" t="s">
        <v>271</v>
      </c>
      <c r="Q145" s="97"/>
      <c r="R145" s="31"/>
    </row>
    <row r="146" ht="14.25" customHeight="1" spans="1:18">
      <c r="A146" s="87">
        <v>42</v>
      </c>
      <c r="B146" s="87" t="str">
        <f t="shared" si="2"/>
        <v>170530</v>
      </c>
      <c r="C146" s="101" t="s">
        <v>185</v>
      </c>
      <c r="D146" s="101">
        <v>170530154</v>
      </c>
      <c r="E146" s="102">
        <v>1</v>
      </c>
      <c r="F146" s="101" t="s">
        <v>272</v>
      </c>
      <c r="G146" s="94">
        <v>1</v>
      </c>
      <c r="H146" s="96">
        <v>180</v>
      </c>
      <c r="I146" s="96">
        <v>79.7</v>
      </c>
      <c r="J146" s="38">
        <v>5289</v>
      </c>
      <c r="K146" s="96">
        <v>17</v>
      </c>
      <c r="L146" s="96">
        <v>7.6</v>
      </c>
      <c r="M146" s="38">
        <v>220</v>
      </c>
      <c r="N146" s="38">
        <v>1</v>
      </c>
      <c r="O146" s="38"/>
      <c r="P146" s="97" t="s">
        <v>27</v>
      </c>
      <c r="Q146" s="97"/>
      <c r="R146" s="31"/>
    </row>
    <row r="147" s="88" customFormat="1" ht="14.25" customHeight="1" spans="1:18">
      <c r="A147" s="87">
        <v>42</v>
      </c>
      <c r="B147" s="87" t="str">
        <f t="shared" si="2"/>
        <v>170530</v>
      </c>
      <c r="C147" s="101" t="s">
        <v>185</v>
      </c>
      <c r="D147" s="105" t="s">
        <v>273</v>
      </c>
      <c r="E147" s="106">
        <v>1</v>
      </c>
      <c r="F147" s="105" t="s">
        <v>274</v>
      </c>
      <c r="G147" s="107">
        <v>2</v>
      </c>
      <c r="H147" s="108">
        <v>158</v>
      </c>
      <c r="I147" s="108">
        <v>46.5</v>
      </c>
      <c r="J147" s="116">
        <v>1838</v>
      </c>
      <c r="K147" s="108">
        <v>13.7</v>
      </c>
      <c r="L147" s="108">
        <v>10</v>
      </c>
      <c r="M147" s="117">
        <v>130</v>
      </c>
      <c r="N147" s="116"/>
      <c r="O147" s="116">
        <v>35</v>
      </c>
      <c r="P147" s="118"/>
      <c r="Q147" s="118" t="s">
        <v>148</v>
      </c>
      <c r="R147" s="122"/>
    </row>
    <row r="148" s="89" customFormat="1" ht="14.25" customHeight="1" spans="1:17">
      <c r="A148" s="87">
        <v>42</v>
      </c>
      <c r="B148" s="87" t="str">
        <f t="shared" si="2"/>
        <v>170530</v>
      </c>
      <c r="C148" s="101" t="s">
        <v>185</v>
      </c>
      <c r="D148" s="102">
        <v>170530103</v>
      </c>
      <c r="E148" s="102">
        <v>1</v>
      </c>
      <c r="F148" s="109" t="s">
        <v>275</v>
      </c>
      <c r="G148" s="102">
        <v>2</v>
      </c>
      <c r="H148" s="36">
        <v>162.3</v>
      </c>
      <c r="I148" s="95">
        <v>51.6</v>
      </c>
      <c r="J148" s="36">
        <v>2504</v>
      </c>
      <c r="K148" s="36">
        <v>18.2</v>
      </c>
      <c r="L148" s="36">
        <v>9.6</v>
      </c>
      <c r="M148" s="36">
        <v>193</v>
      </c>
      <c r="N148" s="36"/>
      <c r="O148" s="36">
        <v>44</v>
      </c>
      <c r="P148" s="36"/>
      <c r="Q148" s="36" t="s">
        <v>225</v>
      </c>
    </row>
    <row r="149" s="90" customFormat="1" ht="14.25" customHeight="1" spans="1:18">
      <c r="A149" s="87">
        <v>42</v>
      </c>
      <c r="B149" s="87" t="str">
        <f t="shared" si="2"/>
        <v>170530</v>
      </c>
      <c r="C149" s="101" t="s">
        <v>185</v>
      </c>
      <c r="D149" s="110" t="s">
        <v>276</v>
      </c>
      <c r="E149" s="111">
        <v>1</v>
      </c>
      <c r="F149" s="110" t="s">
        <v>277</v>
      </c>
      <c r="G149" s="112">
        <v>2</v>
      </c>
      <c r="H149" s="113">
        <v>166.2</v>
      </c>
      <c r="I149" s="113">
        <v>44</v>
      </c>
      <c r="J149" s="119">
        <v>2951</v>
      </c>
      <c r="K149" s="113">
        <v>20.9</v>
      </c>
      <c r="L149" s="113">
        <v>9.3</v>
      </c>
      <c r="M149" s="120">
        <v>160</v>
      </c>
      <c r="N149" s="119"/>
      <c r="O149" s="119">
        <v>46</v>
      </c>
      <c r="P149" s="121"/>
      <c r="Q149" s="121" t="s">
        <v>31</v>
      </c>
      <c r="R149" s="123"/>
    </row>
    <row r="150" ht="14.25" customHeight="1" spans="1:18">
      <c r="A150" s="87">
        <v>42</v>
      </c>
      <c r="B150" s="87" t="str">
        <f t="shared" si="2"/>
        <v>170530</v>
      </c>
      <c r="C150" s="101" t="s">
        <v>185</v>
      </c>
      <c r="D150" s="101" t="s">
        <v>278</v>
      </c>
      <c r="E150" s="102">
        <v>1</v>
      </c>
      <c r="F150" s="101" t="s">
        <v>279</v>
      </c>
      <c r="G150" s="94">
        <v>2</v>
      </c>
      <c r="H150" s="96">
        <v>177</v>
      </c>
      <c r="I150" s="96">
        <v>58</v>
      </c>
      <c r="J150" s="38">
        <v>1846</v>
      </c>
      <c r="K150" s="96">
        <v>9.8</v>
      </c>
      <c r="L150" s="96">
        <v>9</v>
      </c>
      <c r="M150" s="38">
        <v>165</v>
      </c>
      <c r="N150" s="38"/>
      <c r="O150" s="38">
        <v>45</v>
      </c>
      <c r="P150" s="97"/>
      <c r="Q150" s="97" t="s">
        <v>280</v>
      </c>
      <c r="R150" s="31"/>
    </row>
    <row r="151" ht="14.25" customHeight="1" spans="1:18">
      <c r="A151" s="87">
        <v>42</v>
      </c>
      <c r="B151" s="87" t="str">
        <f t="shared" si="2"/>
        <v>170530</v>
      </c>
      <c r="C151" s="101" t="s">
        <v>185</v>
      </c>
      <c r="D151" s="101">
        <v>170530155</v>
      </c>
      <c r="E151" s="102">
        <v>1</v>
      </c>
      <c r="F151" s="101" t="s">
        <v>281</v>
      </c>
      <c r="G151" s="94">
        <v>1</v>
      </c>
      <c r="H151" s="96">
        <v>175.4</v>
      </c>
      <c r="I151" s="96">
        <v>25.4</v>
      </c>
      <c r="J151" s="38">
        <v>3560</v>
      </c>
      <c r="K151" s="96">
        <v>20.8</v>
      </c>
      <c r="L151" s="96">
        <v>7.5</v>
      </c>
      <c r="M151" s="38">
        <v>210</v>
      </c>
      <c r="N151" s="38">
        <v>19</v>
      </c>
      <c r="O151" s="38"/>
      <c r="P151" s="97" t="s">
        <v>47</v>
      </c>
      <c r="Q151" s="97"/>
      <c r="R151" s="31"/>
    </row>
    <row r="152" s="87" customFormat="1" ht="14.25" customHeight="1" spans="1:17">
      <c r="A152" s="87">
        <v>42</v>
      </c>
      <c r="B152" s="87" t="str">
        <f t="shared" si="2"/>
        <v>170520</v>
      </c>
      <c r="C152" s="94" t="s">
        <v>282</v>
      </c>
      <c r="D152" s="114">
        <v>170520141</v>
      </c>
      <c r="E152" s="38">
        <v>1</v>
      </c>
      <c r="F152" s="114" t="s">
        <v>283</v>
      </c>
      <c r="G152" s="94">
        <v>2</v>
      </c>
      <c r="H152" s="96">
        <v>170.1</v>
      </c>
      <c r="I152" s="96">
        <v>43</v>
      </c>
      <c r="J152" s="43">
        <v>2775</v>
      </c>
      <c r="K152" s="96">
        <v>7.9</v>
      </c>
      <c r="L152" s="96">
        <v>9.6</v>
      </c>
      <c r="M152" s="43">
        <v>170</v>
      </c>
      <c r="N152" s="43"/>
      <c r="O152" s="43">
        <v>40</v>
      </c>
      <c r="P152" s="103"/>
      <c r="Q152" s="97" t="s">
        <v>167</v>
      </c>
    </row>
    <row r="153" s="87" customFormat="1" ht="14.25" customHeight="1" spans="1:17">
      <c r="A153" s="87">
        <v>42</v>
      </c>
      <c r="B153" s="87" t="str">
        <f t="shared" si="2"/>
        <v>170520</v>
      </c>
      <c r="C153" s="94" t="s">
        <v>282</v>
      </c>
      <c r="D153" s="114">
        <v>170520142</v>
      </c>
      <c r="E153" s="38">
        <v>1</v>
      </c>
      <c r="F153" s="114" t="s">
        <v>284</v>
      </c>
      <c r="G153" s="94">
        <v>2</v>
      </c>
      <c r="H153" s="96">
        <v>164.5</v>
      </c>
      <c r="I153" s="96">
        <v>55</v>
      </c>
      <c r="J153" s="43">
        <v>3050</v>
      </c>
      <c r="K153" s="96">
        <v>10.2</v>
      </c>
      <c r="L153" s="96">
        <v>8.6</v>
      </c>
      <c r="M153" s="43">
        <v>170</v>
      </c>
      <c r="N153" s="43"/>
      <c r="O153" s="43" t="s">
        <v>285</v>
      </c>
      <c r="P153" s="103"/>
      <c r="Q153" s="97" t="s">
        <v>286</v>
      </c>
    </row>
    <row r="154" s="87" customFormat="1" ht="14.25" customHeight="1" spans="1:17">
      <c r="A154" s="87">
        <v>42</v>
      </c>
      <c r="B154" s="87" t="str">
        <f t="shared" si="2"/>
        <v>170520</v>
      </c>
      <c r="C154" s="94" t="s">
        <v>282</v>
      </c>
      <c r="D154" s="114">
        <v>170520143</v>
      </c>
      <c r="E154" s="38">
        <v>1</v>
      </c>
      <c r="F154" s="114" t="s">
        <v>287</v>
      </c>
      <c r="G154" s="94">
        <v>2</v>
      </c>
      <c r="H154" s="96">
        <v>170.5</v>
      </c>
      <c r="I154" s="96">
        <v>44.9</v>
      </c>
      <c r="J154" s="43">
        <v>2432</v>
      </c>
      <c r="K154" s="96">
        <v>12.2</v>
      </c>
      <c r="L154" s="96">
        <v>8.2</v>
      </c>
      <c r="M154" s="43">
        <v>190</v>
      </c>
      <c r="N154" s="43"/>
      <c r="O154" s="43">
        <v>45</v>
      </c>
      <c r="P154" s="103"/>
      <c r="Q154" s="97" t="s">
        <v>209</v>
      </c>
    </row>
    <row r="155" s="87" customFormat="1" ht="14.25" customHeight="1" spans="1:17">
      <c r="A155" s="87">
        <v>42</v>
      </c>
      <c r="B155" s="87" t="str">
        <f t="shared" si="2"/>
        <v>170520</v>
      </c>
      <c r="C155" s="94" t="s">
        <v>282</v>
      </c>
      <c r="D155" s="114">
        <v>170520144</v>
      </c>
      <c r="E155" s="38">
        <v>1</v>
      </c>
      <c r="F155" s="114" t="s">
        <v>288</v>
      </c>
      <c r="G155" s="94">
        <v>2</v>
      </c>
      <c r="H155" s="96">
        <v>170.9</v>
      </c>
      <c r="I155" s="96">
        <v>53.8</v>
      </c>
      <c r="J155" s="43">
        <v>3096</v>
      </c>
      <c r="K155" s="96">
        <v>24.5</v>
      </c>
      <c r="L155" s="96">
        <v>9.1</v>
      </c>
      <c r="M155" s="43">
        <v>185</v>
      </c>
      <c r="N155" s="43"/>
      <c r="O155" s="43">
        <v>41</v>
      </c>
      <c r="P155" s="103"/>
      <c r="Q155" s="97" t="s">
        <v>62</v>
      </c>
    </row>
    <row r="156" s="87" customFormat="1" ht="14.25" customHeight="1" spans="1:17">
      <c r="A156" s="87">
        <v>42</v>
      </c>
      <c r="B156" s="87" t="str">
        <f t="shared" si="2"/>
        <v>170520</v>
      </c>
      <c r="C156" s="94" t="s">
        <v>282</v>
      </c>
      <c r="D156" s="114">
        <v>170520145</v>
      </c>
      <c r="E156" s="38">
        <v>1</v>
      </c>
      <c r="F156" s="114" t="s">
        <v>289</v>
      </c>
      <c r="G156" s="94">
        <v>2</v>
      </c>
      <c r="H156" s="96">
        <v>165</v>
      </c>
      <c r="I156" s="96">
        <v>57</v>
      </c>
      <c r="J156" s="43">
        <v>4243</v>
      </c>
      <c r="K156" s="96">
        <v>20.9</v>
      </c>
      <c r="L156" s="96">
        <v>9.5</v>
      </c>
      <c r="M156" s="43">
        <v>160</v>
      </c>
      <c r="N156" s="43"/>
      <c r="O156" s="43">
        <v>40</v>
      </c>
      <c r="P156" s="103"/>
      <c r="Q156" s="97" t="s">
        <v>290</v>
      </c>
    </row>
    <row r="157" s="87" customFormat="1" ht="14.25" customHeight="1" spans="1:17">
      <c r="A157" s="87">
        <v>42</v>
      </c>
      <c r="B157" s="87" t="str">
        <f t="shared" si="2"/>
        <v>170520</v>
      </c>
      <c r="C157" s="94" t="s">
        <v>282</v>
      </c>
      <c r="D157" s="114">
        <v>170520146</v>
      </c>
      <c r="E157" s="38">
        <v>1</v>
      </c>
      <c r="F157" s="114" t="s">
        <v>291</v>
      </c>
      <c r="G157" s="94">
        <v>2</v>
      </c>
      <c r="H157" s="96">
        <v>162.2</v>
      </c>
      <c r="I157" s="96">
        <v>50</v>
      </c>
      <c r="J157" s="43">
        <v>2860</v>
      </c>
      <c r="K157" s="96">
        <v>13.6</v>
      </c>
      <c r="L157" s="96">
        <v>8.8</v>
      </c>
      <c r="M157" s="43">
        <v>150</v>
      </c>
      <c r="N157" s="43"/>
      <c r="O157" s="43">
        <v>57</v>
      </c>
      <c r="P157" s="103"/>
      <c r="Q157" s="97" t="s">
        <v>44</v>
      </c>
    </row>
    <row r="158" s="87" customFormat="1" ht="14.25" customHeight="1" spans="1:17">
      <c r="A158" s="87">
        <v>42</v>
      </c>
      <c r="B158" s="87" t="str">
        <f t="shared" si="2"/>
        <v>170520</v>
      </c>
      <c r="C158" s="94" t="s">
        <v>282</v>
      </c>
      <c r="D158" s="114">
        <v>170520147</v>
      </c>
      <c r="E158" s="38">
        <v>1</v>
      </c>
      <c r="F158" s="114" t="s">
        <v>292</v>
      </c>
      <c r="G158" s="94">
        <v>2</v>
      </c>
      <c r="H158" s="96">
        <v>166.1</v>
      </c>
      <c r="I158" s="96">
        <v>70</v>
      </c>
      <c r="J158" s="43">
        <v>3360</v>
      </c>
      <c r="K158" s="96">
        <v>16.4</v>
      </c>
      <c r="L158" s="96">
        <v>9.2</v>
      </c>
      <c r="M158" s="43">
        <v>140</v>
      </c>
      <c r="N158" s="43"/>
      <c r="O158" s="43">
        <v>35</v>
      </c>
      <c r="P158" s="103"/>
      <c r="Q158" s="97" t="s">
        <v>239</v>
      </c>
    </row>
    <row r="159" s="87" customFormat="1" ht="14.25" customHeight="1" spans="1:17">
      <c r="A159" s="87">
        <v>42</v>
      </c>
      <c r="B159" s="87" t="str">
        <f t="shared" si="2"/>
        <v>170520</v>
      </c>
      <c r="C159" s="94" t="s">
        <v>282</v>
      </c>
      <c r="D159" s="114">
        <v>170520148</v>
      </c>
      <c r="E159" s="38">
        <v>1</v>
      </c>
      <c r="F159" s="114" t="s">
        <v>293</v>
      </c>
      <c r="G159" s="94">
        <v>2</v>
      </c>
      <c r="H159" s="96">
        <v>157.5</v>
      </c>
      <c r="I159" s="96">
        <v>39.3</v>
      </c>
      <c r="J159" s="43">
        <v>2262</v>
      </c>
      <c r="K159" s="96">
        <v>16.1</v>
      </c>
      <c r="L159" s="96">
        <v>9.2</v>
      </c>
      <c r="M159" s="43">
        <v>170</v>
      </c>
      <c r="N159" s="43"/>
      <c r="O159" s="43">
        <v>42</v>
      </c>
      <c r="P159" s="103"/>
      <c r="Q159" s="97" t="s">
        <v>47</v>
      </c>
    </row>
    <row r="160" s="87" customFormat="1" ht="14.25" customHeight="1" spans="1:17">
      <c r="A160" s="87">
        <v>42</v>
      </c>
      <c r="B160" s="87" t="str">
        <f t="shared" si="2"/>
        <v>170520</v>
      </c>
      <c r="C160" s="94" t="s">
        <v>282</v>
      </c>
      <c r="D160" s="114">
        <v>170520149</v>
      </c>
      <c r="E160" s="38">
        <v>1</v>
      </c>
      <c r="F160" s="114" t="s">
        <v>294</v>
      </c>
      <c r="G160" s="94">
        <v>2</v>
      </c>
      <c r="H160" s="96">
        <v>163.2</v>
      </c>
      <c r="I160" s="96">
        <v>51.5</v>
      </c>
      <c r="J160" s="43">
        <v>2475</v>
      </c>
      <c r="K160" s="96">
        <v>8.6</v>
      </c>
      <c r="L160" s="96">
        <v>9.5</v>
      </c>
      <c r="M160" s="43">
        <v>180</v>
      </c>
      <c r="N160" s="43"/>
      <c r="O160" s="43">
        <v>40</v>
      </c>
      <c r="P160" s="103"/>
      <c r="Q160" s="97" t="s">
        <v>96</v>
      </c>
    </row>
    <row r="161" s="87" customFormat="1" ht="14.25" customHeight="1" spans="1:17">
      <c r="A161" s="87">
        <v>42</v>
      </c>
      <c r="B161" s="87" t="str">
        <f t="shared" si="2"/>
        <v>170520</v>
      </c>
      <c r="C161" s="94" t="s">
        <v>282</v>
      </c>
      <c r="D161" s="114">
        <v>170520150</v>
      </c>
      <c r="E161" s="38">
        <v>1</v>
      </c>
      <c r="F161" s="114" t="s">
        <v>295</v>
      </c>
      <c r="G161" s="94">
        <v>2</v>
      </c>
      <c r="H161" s="115">
        <v>160.8</v>
      </c>
      <c r="I161" s="96">
        <v>54.1</v>
      </c>
      <c r="J161" s="43">
        <v>2920</v>
      </c>
      <c r="K161" s="96">
        <v>18.5</v>
      </c>
      <c r="L161" s="96">
        <v>10.1</v>
      </c>
      <c r="M161" s="43">
        <v>135</v>
      </c>
      <c r="N161" s="43"/>
      <c r="O161" s="43">
        <v>32</v>
      </c>
      <c r="P161" s="103"/>
      <c r="Q161" s="97" t="s">
        <v>124</v>
      </c>
    </row>
    <row r="162" s="87" customFormat="1" ht="14.25" customHeight="1" spans="1:17">
      <c r="A162" s="87">
        <v>42</v>
      </c>
      <c r="B162" s="87" t="str">
        <f t="shared" si="2"/>
        <v>170520</v>
      </c>
      <c r="C162" s="94" t="s">
        <v>282</v>
      </c>
      <c r="D162" s="114">
        <v>170520151</v>
      </c>
      <c r="E162" s="38">
        <v>1</v>
      </c>
      <c r="F162" s="114" t="s">
        <v>296</v>
      </c>
      <c r="G162" s="94">
        <v>1</v>
      </c>
      <c r="H162" s="96">
        <v>165.5</v>
      </c>
      <c r="I162" s="96">
        <v>51.4</v>
      </c>
      <c r="J162" s="43">
        <v>3612</v>
      </c>
      <c r="K162" s="96">
        <v>18.7</v>
      </c>
      <c r="L162" s="96">
        <v>7.5</v>
      </c>
      <c r="M162" s="43">
        <v>215</v>
      </c>
      <c r="N162" s="43">
        <v>10</v>
      </c>
      <c r="O162" s="43"/>
      <c r="P162" s="97" t="s">
        <v>167</v>
      </c>
      <c r="Q162" s="97"/>
    </row>
    <row r="163" s="87" customFormat="1" ht="14.25" customHeight="1" spans="1:17">
      <c r="A163" s="87">
        <v>42</v>
      </c>
      <c r="B163" s="87" t="str">
        <f t="shared" si="2"/>
        <v>170520</v>
      </c>
      <c r="C163" s="94" t="s">
        <v>282</v>
      </c>
      <c r="D163" s="114">
        <v>170520152</v>
      </c>
      <c r="E163" s="38">
        <v>1</v>
      </c>
      <c r="F163" s="114" t="s">
        <v>297</v>
      </c>
      <c r="G163" s="94">
        <v>1</v>
      </c>
      <c r="H163" s="96">
        <v>173</v>
      </c>
      <c r="I163" s="96">
        <v>61</v>
      </c>
      <c r="J163" s="43">
        <v>3247</v>
      </c>
      <c r="K163" s="96">
        <v>19.2</v>
      </c>
      <c r="L163" s="96">
        <v>7.8</v>
      </c>
      <c r="M163" s="43">
        <v>205</v>
      </c>
      <c r="N163" s="43">
        <v>6</v>
      </c>
      <c r="O163" s="43"/>
      <c r="P163" s="97" t="s">
        <v>298</v>
      </c>
      <c r="Q163" s="97"/>
    </row>
    <row r="164" s="87" customFormat="1" ht="14.25" customHeight="1" spans="1:17">
      <c r="A164" s="87">
        <v>42</v>
      </c>
      <c r="B164" s="87" t="str">
        <f t="shared" si="2"/>
        <v>170520</v>
      </c>
      <c r="C164" s="94" t="s">
        <v>282</v>
      </c>
      <c r="D164" s="114">
        <v>170520153</v>
      </c>
      <c r="E164" s="38">
        <v>1</v>
      </c>
      <c r="F164" s="114" t="s">
        <v>299</v>
      </c>
      <c r="G164" s="94">
        <v>1</v>
      </c>
      <c r="H164" s="96">
        <v>176.5</v>
      </c>
      <c r="I164" s="96">
        <v>85.3</v>
      </c>
      <c r="J164" s="43">
        <v>3148</v>
      </c>
      <c r="K164" s="96">
        <v>9.5</v>
      </c>
      <c r="L164" s="96">
        <v>8.2</v>
      </c>
      <c r="M164" s="43">
        <v>205</v>
      </c>
      <c r="N164" s="43">
        <v>2</v>
      </c>
      <c r="O164" s="43"/>
      <c r="P164" s="97" t="s">
        <v>300</v>
      </c>
      <c r="Q164" s="97"/>
    </row>
    <row r="165" s="87" customFormat="1" ht="14.25" customHeight="1" spans="1:17">
      <c r="A165" s="87">
        <v>42</v>
      </c>
      <c r="B165" s="87" t="str">
        <f t="shared" si="2"/>
        <v>170520</v>
      </c>
      <c r="C165" s="94" t="s">
        <v>282</v>
      </c>
      <c r="D165" s="114">
        <v>170520154</v>
      </c>
      <c r="E165" s="38">
        <v>1</v>
      </c>
      <c r="F165" s="114" t="s">
        <v>301</v>
      </c>
      <c r="G165" s="94">
        <v>1</v>
      </c>
      <c r="H165" s="115">
        <v>179.1</v>
      </c>
      <c r="I165" s="96">
        <v>62.5</v>
      </c>
      <c r="J165" s="43">
        <v>3100</v>
      </c>
      <c r="K165" s="96">
        <v>11.1</v>
      </c>
      <c r="L165" s="96">
        <v>7.2</v>
      </c>
      <c r="M165" s="43">
        <v>250</v>
      </c>
      <c r="N165" s="43">
        <v>10</v>
      </c>
      <c r="O165" s="43"/>
      <c r="P165" s="97" t="s">
        <v>302</v>
      </c>
      <c r="Q165" s="97"/>
    </row>
    <row r="166" s="87" customFormat="1" ht="14.25" customHeight="1" spans="1:17">
      <c r="A166" s="87">
        <v>42</v>
      </c>
      <c r="B166" s="87" t="str">
        <f t="shared" si="2"/>
        <v>170520</v>
      </c>
      <c r="C166" s="94" t="s">
        <v>282</v>
      </c>
      <c r="D166" s="114">
        <v>170520158</v>
      </c>
      <c r="E166" s="38">
        <v>1</v>
      </c>
      <c r="F166" s="114" t="s">
        <v>303</v>
      </c>
      <c r="G166" s="94">
        <v>1</v>
      </c>
      <c r="H166" s="96">
        <v>182.5</v>
      </c>
      <c r="I166" s="96">
        <v>100</v>
      </c>
      <c r="J166" s="43">
        <v>5038</v>
      </c>
      <c r="K166" s="96">
        <v>20</v>
      </c>
      <c r="L166" s="96">
        <v>8.7</v>
      </c>
      <c r="M166" s="43">
        <v>180</v>
      </c>
      <c r="N166" s="43">
        <v>1</v>
      </c>
      <c r="O166" s="43"/>
      <c r="P166" s="97" t="s">
        <v>304</v>
      </c>
      <c r="Q166" s="97"/>
    </row>
    <row r="167" s="87" customFormat="1" ht="14.25" customHeight="1" spans="1:17">
      <c r="A167" s="87">
        <v>42</v>
      </c>
      <c r="B167" s="87" t="str">
        <f t="shared" si="2"/>
        <v>170520</v>
      </c>
      <c r="C167" s="94" t="s">
        <v>282</v>
      </c>
      <c r="D167" s="114">
        <v>170520159</v>
      </c>
      <c r="E167" s="38">
        <v>1</v>
      </c>
      <c r="F167" s="114" t="s">
        <v>305</v>
      </c>
      <c r="G167" s="94">
        <v>1</v>
      </c>
      <c r="H167" s="96">
        <v>165.5</v>
      </c>
      <c r="I167" s="96">
        <v>71.1</v>
      </c>
      <c r="J167" s="43">
        <v>3596</v>
      </c>
      <c r="K167" s="96">
        <v>1.3</v>
      </c>
      <c r="L167" s="96">
        <v>7.5</v>
      </c>
      <c r="M167" s="43">
        <v>215</v>
      </c>
      <c r="N167" s="43">
        <v>3</v>
      </c>
      <c r="O167" s="43"/>
      <c r="P167" s="97" t="s">
        <v>230</v>
      </c>
      <c r="Q167" s="97"/>
    </row>
    <row r="168" s="87" customFormat="1" ht="14.25" customHeight="1" spans="1:17">
      <c r="A168" s="87">
        <v>42</v>
      </c>
      <c r="B168" s="87" t="str">
        <f t="shared" si="2"/>
        <v>170520</v>
      </c>
      <c r="C168" s="94" t="s">
        <v>282</v>
      </c>
      <c r="D168" s="114">
        <v>170520160</v>
      </c>
      <c r="E168" s="38">
        <v>1</v>
      </c>
      <c r="F168" s="114" t="s">
        <v>306</v>
      </c>
      <c r="G168" s="94">
        <v>1</v>
      </c>
      <c r="H168" s="96">
        <v>179.5</v>
      </c>
      <c r="I168" s="96">
        <v>58</v>
      </c>
      <c r="J168" s="43">
        <v>3839</v>
      </c>
      <c r="K168" s="96">
        <v>5.5</v>
      </c>
      <c r="L168" s="96">
        <v>7</v>
      </c>
      <c r="M168" s="43">
        <v>180</v>
      </c>
      <c r="N168" s="43">
        <v>10</v>
      </c>
      <c r="O168" s="43"/>
      <c r="P168" s="97" t="s">
        <v>23</v>
      </c>
      <c r="Q168" s="97"/>
    </row>
    <row r="169" s="87" customFormat="1" ht="14.25" customHeight="1" spans="1:17">
      <c r="A169" s="87">
        <v>42</v>
      </c>
      <c r="B169" s="87" t="str">
        <f t="shared" si="2"/>
        <v>170520</v>
      </c>
      <c r="C169" s="94" t="s">
        <v>282</v>
      </c>
      <c r="D169" s="114">
        <v>170520161</v>
      </c>
      <c r="E169" s="38">
        <v>1</v>
      </c>
      <c r="F169" s="114" t="s">
        <v>307</v>
      </c>
      <c r="G169" s="94">
        <v>1</v>
      </c>
      <c r="H169" s="96">
        <v>179.2</v>
      </c>
      <c r="I169" s="96">
        <v>64.4</v>
      </c>
      <c r="J169" s="43">
        <v>4009</v>
      </c>
      <c r="K169" s="96">
        <v>11.7</v>
      </c>
      <c r="L169" s="96">
        <v>7</v>
      </c>
      <c r="M169" s="43">
        <v>220</v>
      </c>
      <c r="N169" s="43">
        <v>9</v>
      </c>
      <c r="O169" s="43"/>
      <c r="P169" s="97" t="s">
        <v>298</v>
      </c>
      <c r="Q169" s="97"/>
    </row>
    <row r="170" s="87" customFormat="1" ht="14.25" customHeight="1" spans="1:17">
      <c r="A170" s="87">
        <v>42</v>
      </c>
      <c r="B170" s="87" t="str">
        <f t="shared" si="2"/>
        <v>170520</v>
      </c>
      <c r="C170" s="94" t="s">
        <v>282</v>
      </c>
      <c r="D170" s="114">
        <v>170520162</v>
      </c>
      <c r="E170" s="38">
        <v>1</v>
      </c>
      <c r="F170" s="114" t="s">
        <v>308</v>
      </c>
      <c r="G170" s="94">
        <v>1</v>
      </c>
      <c r="H170" s="96">
        <v>182.3</v>
      </c>
      <c r="I170" s="96">
        <v>70.5</v>
      </c>
      <c r="J170" s="43">
        <v>5181</v>
      </c>
      <c r="K170" s="96">
        <v>11.3</v>
      </c>
      <c r="L170" s="96">
        <v>6.9</v>
      </c>
      <c r="M170" s="43">
        <v>215</v>
      </c>
      <c r="N170" s="43">
        <v>5</v>
      </c>
      <c r="O170" s="43"/>
      <c r="P170" s="97" t="s">
        <v>25</v>
      </c>
      <c r="Q170" s="97"/>
    </row>
    <row r="171" s="87" customFormat="1" ht="14.25" customHeight="1" spans="1:17">
      <c r="A171" s="87">
        <v>42</v>
      </c>
      <c r="B171" s="87" t="str">
        <f t="shared" si="2"/>
        <v>170520</v>
      </c>
      <c r="C171" s="94" t="s">
        <v>282</v>
      </c>
      <c r="D171" s="114">
        <v>170520163</v>
      </c>
      <c r="E171" s="38">
        <v>1</v>
      </c>
      <c r="F171" s="114" t="s">
        <v>309</v>
      </c>
      <c r="G171" s="94">
        <v>1</v>
      </c>
      <c r="H171" s="96">
        <v>182.3</v>
      </c>
      <c r="I171" s="96">
        <v>60</v>
      </c>
      <c r="J171" s="43">
        <v>4682</v>
      </c>
      <c r="K171" s="96">
        <v>11.2</v>
      </c>
      <c r="L171" s="96">
        <v>7.6</v>
      </c>
      <c r="M171" s="43">
        <v>235</v>
      </c>
      <c r="N171" s="43">
        <v>6</v>
      </c>
      <c r="O171" s="43"/>
      <c r="P171" s="97" t="s">
        <v>113</v>
      </c>
      <c r="Q171" s="97" t="s">
        <v>285</v>
      </c>
    </row>
    <row r="172" s="87" customFormat="1" ht="14.25" customHeight="1" spans="1:17">
      <c r="A172" s="87">
        <v>42</v>
      </c>
      <c r="B172" s="87" t="str">
        <f t="shared" si="2"/>
        <v>170520</v>
      </c>
      <c r="C172" s="94" t="s">
        <v>282</v>
      </c>
      <c r="D172" s="114">
        <v>170520101</v>
      </c>
      <c r="E172" s="38">
        <v>1</v>
      </c>
      <c r="F172" s="114" t="s">
        <v>310</v>
      </c>
      <c r="G172" s="94">
        <v>2</v>
      </c>
      <c r="H172" s="96">
        <v>161.5</v>
      </c>
      <c r="I172" s="96">
        <v>51.2</v>
      </c>
      <c r="J172" s="43">
        <v>2773</v>
      </c>
      <c r="K172" s="96">
        <v>28.2</v>
      </c>
      <c r="L172" s="96">
        <v>9.4</v>
      </c>
      <c r="M172" s="43">
        <v>168</v>
      </c>
      <c r="N172" s="43"/>
      <c r="O172" s="43">
        <v>48</v>
      </c>
      <c r="P172" s="103"/>
      <c r="Q172" s="97" t="s">
        <v>118</v>
      </c>
    </row>
    <row r="173" s="87" customFormat="1" ht="14.25" customHeight="1" spans="1:17">
      <c r="A173" s="87">
        <v>42</v>
      </c>
      <c r="B173" s="87" t="str">
        <f t="shared" si="2"/>
        <v>170520</v>
      </c>
      <c r="C173" s="94" t="s">
        <v>282</v>
      </c>
      <c r="D173" s="114">
        <v>170520102</v>
      </c>
      <c r="E173" s="38">
        <v>1</v>
      </c>
      <c r="F173" s="114" t="s">
        <v>311</v>
      </c>
      <c r="G173" s="94">
        <v>2</v>
      </c>
      <c r="H173" s="96">
        <v>159.5</v>
      </c>
      <c r="I173" s="96">
        <v>47</v>
      </c>
      <c r="J173" s="43">
        <v>2880</v>
      </c>
      <c r="K173" s="96">
        <v>20.4</v>
      </c>
      <c r="L173" s="96">
        <v>10</v>
      </c>
      <c r="M173" s="43">
        <v>170</v>
      </c>
      <c r="N173" s="43"/>
      <c r="O173" s="43">
        <v>47</v>
      </c>
      <c r="P173" s="103"/>
      <c r="Q173" s="97" t="s">
        <v>312</v>
      </c>
    </row>
    <row r="174" s="87" customFormat="1" ht="14.25" customHeight="1" spans="1:17">
      <c r="A174" s="87">
        <v>42</v>
      </c>
      <c r="B174" s="87" t="str">
        <f t="shared" si="2"/>
        <v>170520</v>
      </c>
      <c r="C174" s="94" t="s">
        <v>282</v>
      </c>
      <c r="D174" s="114">
        <v>170520103</v>
      </c>
      <c r="E174" s="38">
        <v>1</v>
      </c>
      <c r="F174" s="114" t="s">
        <v>313</v>
      </c>
      <c r="G174" s="94">
        <v>2</v>
      </c>
      <c r="H174" s="96">
        <v>165.1</v>
      </c>
      <c r="I174" s="96">
        <v>51.5</v>
      </c>
      <c r="J174" s="43">
        <v>2987</v>
      </c>
      <c r="K174" s="96">
        <v>12.2</v>
      </c>
      <c r="L174" s="96">
        <v>8.7</v>
      </c>
      <c r="M174" s="43">
        <v>175</v>
      </c>
      <c r="N174" s="43"/>
      <c r="O174" s="43">
        <v>37</v>
      </c>
      <c r="P174" s="103"/>
      <c r="Q174" s="97" t="s">
        <v>42</v>
      </c>
    </row>
    <row r="175" s="87" customFormat="1" ht="14.25" customHeight="1" spans="1:17">
      <c r="A175" s="87">
        <v>42</v>
      </c>
      <c r="B175" s="87" t="str">
        <f t="shared" si="2"/>
        <v>170520</v>
      </c>
      <c r="C175" s="94" t="s">
        <v>282</v>
      </c>
      <c r="D175" s="114">
        <v>170520104</v>
      </c>
      <c r="E175" s="38">
        <v>1</v>
      </c>
      <c r="F175" s="114" t="s">
        <v>314</v>
      </c>
      <c r="G175" s="94">
        <v>2</v>
      </c>
      <c r="H175" s="96">
        <v>170.5</v>
      </c>
      <c r="I175" s="96">
        <v>57.1</v>
      </c>
      <c r="J175" s="43">
        <v>3510</v>
      </c>
      <c r="K175" s="96">
        <v>16.1</v>
      </c>
      <c r="L175" s="96">
        <v>9.6</v>
      </c>
      <c r="M175" s="43">
        <v>160</v>
      </c>
      <c r="N175" s="43"/>
      <c r="O175" s="43">
        <v>38</v>
      </c>
      <c r="P175" s="103"/>
      <c r="Q175" s="97" t="s">
        <v>60</v>
      </c>
    </row>
    <row r="176" s="87" customFormat="1" ht="14.25" customHeight="1" spans="1:17">
      <c r="A176" s="87">
        <v>42</v>
      </c>
      <c r="B176" s="87" t="str">
        <f t="shared" si="2"/>
        <v>170520</v>
      </c>
      <c r="C176" s="94" t="s">
        <v>282</v>
      </c>
      <c r="D176" s="114">
        <v>170520105</v>
      </c>
      <c r="E176" s="38">
        <v>1</v>
      </c>
      <c r="F176" s="114" t="s">
        <v>315</v>
      </c>
      <c r="G176" s="94">
        <v>2</v>
      </c>
      <c r="H176" s="96">
        <v>176.2</v>
      </c>
      <c r="I176" s="96">
        <v>56.2</v>
      </c>
      <c r="J176" s="43">
        <v>3593</v>
      </c>
      <c r="K176" s="96">
        <v>11.2</v>
      </c>
      <c r="L176" s="96">
        <v>9.6</v>
      </c>
      <c r="M176" s="43">
        <v>160</v>
      </c>
      <c r="N176" s="43"/>
      <c r="O176" s="43">
        <v>41</v>
      </c>
      <c r="P176" s="103"/>
      <c r="Q176" s="97" t="s">
        <v>92</v>
      </c>
    </row>
    <row r="177" s="87" customFormat="1" ht="14.25" customHeight="1" spans="1:17">
      <c r="A177" s="87">
        <v>42</v>
      </c>
      <c r="B177" s="87" t="str">
        <f t="shared" si="2"/>
        <v>170520</v>
      </c>
      <c r="C177" s="94" t="s">
        <v>282</v>
      </c>
      <c r="D177" s="114">
        <v>170520106</v>
      </c>
      <c r="E177" s="38">
        <v>1</v>
      </c>
      <c r="F177" s="114" t="s">
        <v>316</v>
      </c>
      <c r="G177" s="94">
        <v>2</v>
      </c>
      <c r="H177" s="96">
        <v>162.5</v>
      </c>
      <c r="I177" s="96">
        <v>55</v>
      </c>
      <c r="J177" s="43">
        <v>2810</v>
      </c>
      <c r="K177" s="96">
        <v>18.4</v>
      </c>
      <c r="L177" s="96">
        <v>9.6</v>
      </c>
      <c r="M177" s="43">
        <v>150</v>
      </c>
      <c r="N177" s="43"/>
      <c r="O177" s="43">
        <v>36</v>
      </c>
      <c r="P177" s="103"/>
      <c r="Q177" s="97" t="s">
        <v>163</v>
      </c>
    </row>
    <row r="178" s="87" customFormat="1" ht="14.25" customHeight="1" spans="1:17">
      <c r="A178" s="87">
        <v>42</v>
      </c>
      <c r="B178" s="87" t="str">
        <f t="shared" si="2"/>
        <v>170520</v>
      </c>
      <c r="C178" s="94" t="s">
        <v>282</v>
      </c>
      <c r="D178" s="114">
        <v>170520107</v>
      </c>
      <c r="E178" s="38">
        <v>1</v>
      </c>
      <c r="F178" s="114" t="s">
        <v>317</v>
      </c>
      <c r="G178" s="94">
        <v>2</v>
      </c>
      <c r="H178" s="96">
        <v>164.8</v>
      </c>
      <c r="I178" s="96">
        <v>54.3</v>
      </c>
      <c r="J178" s="43">
        <v>3201</v>
      </c>
      <c r="K178" s="96">
        <v>17.2</v>
      </c>
      <c r="L178" s="96">
        <v>9.9</v>
      </c>
      <c r="M178" s="43">
        <v>155</v>
      </c>
      <c r="N178" s="43"/>
      <c r="O178" s="43">
        <v>45</v>
      </c>
      <c r="P178" s="103"/>
      <c r="Q178" s="97" t="s">
        <v>69</v>
      </c>
    </row>
    <row r="179" s="87" customFormat="1" ht="14.25" customHeight="1" spans="1:17">
      <c r="A179" s="87">
        <v>42</v>
      </c>
      <c r="B179" s="87" t="str">
        <f t="shared" si="2"/>
        <v>170520</v>
      </c>
      <c r="C179" s="94" t="s">
        <v>282</v>
      </c>
      <c r="D179" s="114">
        <v>170520108</v>
      </c>
      <c r="E179" s="38">
        <v>1</v>
      </c>
      <c r="F179" s="114" t="s">
        <v>318</v>
      </c>
      <c r="G179" s="94">
        <v>2</v>
      </c>
      <c r="H179" s="96">
        <v>160</v>
      </c>
      <c r="I179" s="96">
        <v>52.2</v>
      </c>
      <c r="J179" s="43">
        <v>2703</v>
      </c>
      <c r="K179" s="96">
        <v>10.1</v>
      </c>
      <c r="L179" s="96">
        <v>10</v>
      </c>
      <c r="M179" s="43">
        <v>144</v>
      </c>
      <c r="N179" s="43"/>
      <c r="O179" s="43">
        <v>46</v>
      </c>
      <c r="P179" s="103"/>
      <c r="Q179" s="97" t="s">
        <v>44</v>
      </c>
    </row>
    <row r="180" s="87" customFormat="1" ht="14.25" customHeight="1" spans="1:17">
      <c r="A180" s="87">
        <v>42</v>
      </c>
      <c r="B180" s="87" t="str">
        <f t="shared" si="2"/>
        <v>170520</v>
      </c>
      <c r="C180" s="94" t="s">
        <v>282</v>
      </c>
      <c r="D180" s="114">
        <v>170520109</v>
      </c>
      <c r="E180" s="38">
        <v>1</v>
      </c>
      <c r="F180" s="114" t="s">
        <v>319</v>
      </c>
      <c r="G180" s="94">
        <v>2</v>
      </c>
      <c r="H180" s="96">
        <v>160.5</v>
      </c>
      <c r="I180" s="96">
        <v>49</v>
      </c>
      <c r="J180" s="43">
        <v>2662</v>
      </c>
      <c r="K180" s="96">
        <v>12.6</v>
      </c>
      <c r="L180" s="96">
        <v>9.2</v>
      </c>
      <c r="M180" s="43">
        <v>152</v>
      </c>
      <c r="N180" s="43"/>
      <c r="O180" s="43">
        <v>45</v>
      </c>
      <c r="P180" s="103"/>
      <c r="Q180" s="97" t="s">
        <v>140</v>
      </c>
    </row>
    <row r="181" s="87" customFormat="1" ht="14.25" customHeight="1" spans="1:17">
      <c r="A181" s="87">
        <v>42</v>
      </c>
      <c r="B181" s="87" t="str">
        <f t="shared" si="2"/>
        <v>170520</v>
      </c>
      <c r="C181" s="94" t="s">
        <v>282</v>
      </c>
      <c r="D181" s="114">
        <v>170520110</v>
      </c>
      <c r="E181" s="38">
        <v>1</v>
      </c>
      <c r="F181" s="114" t="s">
        <v>320</v>
      </c>
      <c r="G181" s="94">
        <v>2</v>
      </c>
      <c r="H181" s="96">
        <v>168.5</v>
      </c>
      <c r="I181" s="96">
        <v>53</v>
      </c>
      <c r="J181" s="43">
        <v>2713</v>
      </c>
      <c r="K181" s="96">
        <v>20</v>
      </c>
      <c r="L181" s="96">
        <v>9.4</v>
      </c>
      <c r="M181" s="43">
        <v>160</v>
      </c>
      <c r="N181" s="43"/>
      <c r="O181" s="43">
        <v>22</v>
      </c>
      <c r="P181" s="103"/>
      <c r="Q181" s="97" t="s">
        <v>19</v>
      </c>
    </row>
    <row r="182" s="87" customFormat="1" ht="14.25" customHeight="1" spans="1:17">
      <c r="A182" s="87">
        <v>42</v>
      </c>
      <c r="B182" s="87" t="str">
        <f t="shared" si="2"/>
        <v>170520</v>
      </c>
      <c r="C182" s="94" t="s">
        <v>282</v>
      </c>
      <c r="D182" s="114">
        <v>170520111</v>
      </c>
      <c r="E182" s="38">
        <v>3</v>
      </c>
      <c r="F182" s="114" t="s">
        <v>321</v>
      </c>
      <c r="G182" s="94">
        <v>2</v>
      </c>
      <c r="H182" s="96">
        <v>158.5</v>
      </c>
      <c r="I182" s="96">
        <v>53.1</v>
      </c>
      <c r="J182" s="43">
        <v>2779</v>
      </c>
      <c r="K182" s="96">
        <v>20.8</v>
      </c>
      <c r="L182" s="96">
        <v>10.1</v>
      </c>
      <c r="M182" s="43">
        <v>125</v>
      </c>
      <c r="N182" s="43"/>
      <c r="O182" s="43">
        <v>42</v>
      </c>
      <c r="P182" s="103"/>
      <c r="Q182" s="97" t="s">
        <v>322</v>
      </c>
    </row>
    <row r="183" s="87" customFormat="1" ht="14.25" customHeight="1" spans="1:17">
      <c r="A183" s="87">
        <v>42</v>
      </c>
      <c r="B183" s="87" t="str">
        <f t="shared" si="2"/>
        <v>170520</v>
      </c>
      <c r="C183" s="94" t="s">
        <v>282</v>
      </c>
      <c r="D183" s="114">
        <v>170520112</v>
      </c>
      <c r="E183" s="38">
        <v>1</v>
      </c>
      <c r="F183" s="114" t="s">
        <v>323</v>
      </c>
      <c r="G183" s="94">
        <v>2</v>
      </c>
      <c r="H183" s="96">
        <v>165.3</v>
      </c>
      <c r="I183" s="96">
        <v>50.4</v>
      </c>
      <c r="J183" s="43">
        <v>2422</v>
      </c>
      <c r="K183" s="96">
        <v>12.4</v>
      </c>
      <c r="L183" s="96">
        <v>8.4</v>
      </c>
      <c r="M183" s="43">
        <v>180</v>
      </c>
      <c r="N183" s="43"/>
      <c r="O183" s="43">
        <v>48</v>
      </c>
      <c r="P183" s="103"/>
      <c r="Q183" s="97" t="s">
        <v>81</v>
      </c>
    </row>
    <row r="184" s="87" customFormat="1" ht="14.25" customHeight="1" spans="1:17">
      <c r="A184" s="87">
        <v>42</v>
      </c>
      <c r="B184" s="87" t="str">
        <f t="shared" si="2"/>
        <v>170520</v>
      </c>
      <c r="C184" s="94" t="s">
        <v>282</v>
      </c>
      <c r="D184" s="114">
        <v>170520113</v>
      </c>
      <c r="E184" s="38">
        <v>1</v>
      </c>
      <c r="F184" s="114" t="s">
        <v>324</v>
      </c>
      <c r="G184" s="94">
        <v>2</v>
      </c>
      <c r="H184" s="96">
        <v>160.1</v>
      </c>
      <c r="I184" s="96">
        <v>47.5</v>
      </c>
      <c r="J184" s="43">
        <v>3076</v>
      </c>
      <c r="K184" s="96">
        <v>9.3</v>
      </c>
      <c r="L184" s="96">
        <v>9.2</v>
      </c>
      <c r="M184" s="43">
        <v>160</v>
      </c>
      <c r="N184" s="43"/>
      <c r="O184" s="43">
        <v>40</v>
      </c>
      <c r="P184" s="103"/>
      <c r="Q184" s="97" t="s">
        <v>92</v>
      </c>
    </row>
    <row r="185" s="87" customFormat="1" ht="14.25" customHeight="1" spans="1:17">
      <c r="A185" s="87">
        <v>42</v>
      </c>
      <c r="B185" s="87" t="str">
        <f t="shared" si="2"/>
        <v>170520</v>
      </c>
      <c r="C185" s="94" t="s">
        <v>282</v>
      </c>
      <c r="D185" s="114">
        <v>170520114</v>
      </c>
      <c r="E185" s="38">
        <v>1</v>
      </c>
      <c r="F185" s="114" t="s">
        <v>325</v>
      </c>
      <c r="G185" s="94">
        <v>2</v>
      </c>
      <c r="H185" s="96">
        <v>164.4</v>
      </c>
      <c r="I185" s="96">
        <v>49.5</v>
      </c>
      <c r="J185" s="43">
        <v>2485</v>
      </c>
      <c r="K185" s="96">
        <v>23.6</v>
      </c>
      <c r="L185" s="96">
        <v>9.7</v>
      </c>
      <c r="M185" s="43">
        <v>160</v>
      </c>
      <c r="N185" s="43"/>
      <c r="O185" s="43">
        <v>42</v>
      </c>
      <c r="P185" s="103"/>
      <c r="Q185" s="104" t="s">
        <v>33</v>
      </c>
    </row>
    <row r="186" s="87" customFormat="1" ht="14.25" customHeight="1" spans="1:17">
      <c r="A186" s="87">
        <v>42</v>
      </c>
      <c r="B186" s="87" t="str">
        <f t="shared" si="2"/>
        <v>170520</v>
      </c>
      <c r="C186" s="94" t="s">
        <v>282</v>
      </c>
      <c r="D186" s="114">
        <v>170520115</v>
      </c>
      <c r="E186" s="38">
        <v>1</v>
      </c>
      <c r="F186" s="114" t="s">
        <v>326</v>
      </c>
      <c r="G186" s="94">
        <v>2</v>
      </c>
      <c r="H186" s="96">
        <v>158.2</v>
      </c>
      <c r="I186" s="96">
        <v>65</v>
      </c>
      <c r="J186" s="43">
        <v>3105</v>
      </c>
      <c r="K186" s="96">
        <v>21</v>
      </c>
      <c r="L186" s="96">
        <v>10.1</v>
      </c>
      <c r="M186" s="43">
        <v>160</v>
      </c>
      <c r="N186" s="43"/>
      <c r="O186" s="43">
        <v>28</v>
      </c>
      <c r="P186" s="103"/>
      <c r="Q186" s="97" t="s">
        <v>230</v>
      </c>
    </row>
    <row r="187" s="87" customFormat="1" ht="14.25" customHeight="1" spans="1:17">
      <c r="A187" s="87">
        <v>42</v>
      </c>
      <c r="B187" s="87" t="str">
        <f t="shared" si="2"/>
        <v>170520</v>
      </c>
      <c r="C187" s="94" t="s">
        <v>282</v>
      </c>
      <c r="D187" s="114">
        <v>170520116</v>
      </c>
      <c r="E187" s="38">
        <v>1</v>
      </c>
      <c r="F187" s="114" t="s">
        <v>327</v>
      </c>
      <c r="G187" s="94">
        <v>2</v>
      </c>
      <c r="H187" s="96">
        <v>165.3</v>
      </c>
      <c r="I187" s="96">
        <v>50</v>
      </c>
      <c r="J187" s="43">
        <v>2716</v>
      </c>
      <c r="K187" s="96">
        <v>14.6</v>
      </c>
      <c r="L187" s="96">
        <v>9.2</v>
      </c>
      <c r="M187" s="43">
        <v>160</v>
      </c>
      <c r="N187" s="43"/>
      <c r="O187" s="43">
        <v>42</v>
      </c>
      <c r="P187" s="103"/>
      <c r="Q187" s="97" t="s">
        <v>96</v>
      </c>
    </row>
    <row r="188" s="87" customFormat="1" ht="14.25" customHeight="1" spans="1:17">
      <c r="A188" s="87">
        <v>42</v>
      </c>
      <c r="B188" s="87" t="str">
        <f t="shared" si="2"/>
        <v>170520</v>
      </c>
      <c r="C188" s="94" t="s">
        <v>282</v>
      </c>
      <c r="D188" s="114">
        <v>170520117</v>
      </c>
      <c r="E188" s="38">
        <v>1</v>
      </c>
      <c r="F188" s="114" t="s">
        <v>328</v>
      </c>
      <c r="G188" s="94">
        <v>2</v>
      </c>
      <c r="H188" s="96">
        <v>172.1</v>
      </c>
      <c r="I188" s="96">
        <v>58</v>
      </c>
      <c r="J188" s="43">
        <v>3679</v>
      </c>
      <c r="K188" s="96">
        <v>9.9</v>
      </c>
      <c r="L188" s="96">
        <v>9.1</v>
      </c>
      <c r="M188" s="43">
        <v>175</v>
      </c>
      <c r="N188" s="43"/>
      <c r="O188" s="43">
        <v>48</v>
      </c>
      <c r="P188" s="103"/>
      <c r="Q188" s="97" t="s">
        <v>71</v>
      </c>
    </row>
    <row r="189" s="87" customFormat="1" ht="14.25" customHeight="1" spans="1:17">
      <c r="A189" s="87">
        <v>42</v>
      </c>
      <c r="B189" s="87" t="str">
        <f t="shared" si="2"/>
        <v>170520</v>
      </c>
      <c r="C189" s="94" t="s">
        <v>282</v>
      </c>
      <c r="D189" s="114">
        <v>170520118</v>
      </c>
      <c r="E189" s="38">
        <v>1</v>
      </c>
      <c r="F189" s="114" t="s">
        <v>329</v>
      </c>
      <c r="G189" s="94">
        <v>2</v>
      </c>
      <c r="H189" s="96">
        <v>160.2</v>
      </c>
      <c r="I189" s="96">
        <v>50.6</v>
      </c>
      <c r="J189" s="43">
        <v>2366</v>
      </c>
      <c r="K189" s="96">
        <v>13.3</v>
      </c>
      <c r="L189" s="96">
        <v>9.5</v>
      </c>
      <c r="M189" s="43">
        <v>165</v>
      </c>
      <c r="N189" s="43"/>
      <c r="O189" s="43">
        <v>41</v>
      </c>
      <c r="P189" s="103"/>
      <c r="Q189" s="97" t="s">
        <v>167</v>
      </c>
    </row>
    <row r="190" s="87" customFormat="1" ht="14.25" customHeight="1" spans="1:17">
      <c r="A190" s="87">
        <v>42</v>
      </c>
      <c r="B190" s="87" t="str">
        <f t="shared" si="2"/>
        <v>170520</v>
      </c>
      <c r="C190" s="94" t="s">
        <v>282</v>
      </c>
      <c r="D190" s="114">
        <v>170520119</v>
      </c>
      <c r="E190" s="38">
        <v>1</v>
      </c>
      <c r="F190" s="114" t="s">
        <v>330</v>
      </c>
      <c r="G190" s="94">
        <v>2</v>
      </c>
      <c r="H190" s="96">
        <v>160.5</v>
      </c>
      <c r="I190" s="96">
        <v>49.5</v>
      </c>
      <c r="J190" s="43">
        <v>2847</v>
      </c>
      <c r="K190" s="96">
        <v>13.5</v>
      </c>
      <c r="L190" s="96">
        <v>9.1</v>
      </c>
      <c r="M190" s="43">
        <v>165</v>
      </c>
      <c r="N190" s="43"/>
      <c r="O190" s="43">
        <v>38</v>
      </c>
      <c r="P190" s="103"/>
      <c r="Q190" s="97" t="s">
        <v>62</v>
      </c>
    </row>
    <row r="191" s="87" customFormat="1" ht="14.25" customHeight="1" spans="1:17">
      <c r="A191" s="87">
        <v>42</v>
      </c>
      <c r="B191" s="87" t="str">
        <f t="shared" si="2"/>
        <v>170520</v>
      </c>
      <c r="C191" s="94" t="s">
        <v>282</v>
      </c>
      <c r="D191" s="114">
        <v>170520120</v>
      </c>
      <c r="E191" s="38">
        <v>1</v>
      </c>
      <c r="F191" s="114" t="s">
        <v>331</v>
      </c>
      <c r="G191" s="94">
        <v>2</v>
      </c>
      <c r="H191" s="96">
        <v>167</v>
      </c>
      <c r="I191" s="96">
        <v>49</v>
      </c>
      <c r="J191" s="43">
        <v>3540</v>
      </c>
      <c r="K191" s="96">
        <v>18</v>
      </c>
      <c r="L191" s="96">
        <v>9.2</v>
      </c>
      <c r="M191" s="43">
        <v>165</v>
      </c>
      <c r="N191" s="43"/>
      <c r="O191" s="43">
        <v>45</v>
      </c>
      <c r="P191" s="103"/>
      <c r="Q191" s="103" t="s">
        <v>124</v>
      </c>
    </row>
    <row r="192" s="87" customFormat="1" ht="14.25" customHeight="1" spans="1:17">
      <c r="A192" s="87">
        <v>42</v>
      </c>
      <c r="B192" s="87" t="str">
        <f t="shared" si="2"/>
        <v>170520</v>
      </c>
      <c r="C192" s="94" t="s">
        <v>282</v>
      </c>
      <c r="D192" s="114">
        <v>170520121</v>
      </c>
      <c r="E192" s="38">
        <v>1</v>
      </c>
      <c r="F192" s="114" t="s">
        <v>332</v>
      </c>
      <c r="G192" s="94">
        <v>2</v>
      </c>
      <c r="H192" s="96">
        <v>159.5</v>
      </c>
      <c r="I192" s="96">
        <v>49</v>
      </c>
      <c r="J192" s="43">
        <v>2641</v>
      </c>
      <c r="K192" s="96">
        <v>15.9</v>
      </c>
      <c r="L192" s="96">
        <v>9.2</v>
      </c>
      <c r="M192" s="43">
        <v>170</v>
      </c>
      <c r="N192" s="43"/>
      <c r="O192" s="43">
        <v>36</v>
      </c>
      <c r="P192" s="103"/>
      <c r="Q192" s="103" t="s">
        <v>62</v>
      </c>
    </row>
    <row r="193" s="87" customFormat="1" ht="14.25" customHeight="1" spans="1:17">
      <c r="A193" s="87">
        <v>42</v>
      </c>
      <c r="B193" s="87" t="str">
        <f t="shared" si="2"/>
        <v>170520</v>
      </c>
      <c r="C193" s="94" t="s">
        <v>282</v>
      </c>
      <c r="D193" s="114">
        <v>170520122</v>
      </c>
      <c r="E193" s="38">
        <v>1</v>
      </c>
      <c r="F193" s="114" t="s">
        <v>333</v>
      </c>
      <c r="G193" s="94">
        <v>2</v>
      </c>
      <c r="H193" s="96">
        <v>160.2</v>
      </c>
      <c r="I193" s="96">
        <v>62.5</v>
      </c>
      <c r="J193" s="43">
        <v>4121</v>
      </c>
      <c r="K193" s="96">
        <v>14.9</v>
      </c>
      <c r="L193" s="96">
        <v>10.1</v>
      </c>
      <c r="M193" s="43">
        <v>160</v>
      </c>
      <c r="N193" s="43"/>
      <c r="O193" s="43">
        <v>28</v>
      </c>
      <c r="P193" s="103"/>
      <c r="Q193" s="103" t="s">
        <v>334</v>
      </c>
    </row>
    <row r="194" s="87" customFormat="1" ht="14.25" customHeight="1" spans="1:17">
      <c r="A194" s="87">
        <v>42</v>
      </c>
      <c r="B194" s="87" t="str">
        <f t="shared" si="2"/>
        <v>170520</v>
      </c>
      <c r="C194" s="94" t="s">
        <v>282</v>
      </c>
      <c r="D194" s="114">
        <v>170520123</v>
      </c>
      <c r="E194" s="38">
        <v>1</v>
      </c>
      <c r="F194" s="114" t="s">
        <v>335</v>
      </c>
      <c r="G194" s="94">
        <v>2</v>
      </c>
      <c r="H194" s="96">
        <v>165.2</v>
      </c>
      <c r="I194" s="96">
        <v>52.7</v>
      </c>
      <c r="J194" s="43">
        <v>3528</v>
      </c>
      <c r="K194" s="96">
        <v>23.1</v>
      </c>
      <c r="L194" s="96">
        <v>10</v>
      </c>
      <c r="M194" s="43">
        <v>165</v>
      </c>
      <c r="N194" s="43"/>
      <c r="O194" s="43">
        <v>37</v>
      </c>
      <c r="P194" s="103"/>
      <c r="Q194" s="97" t="s">
        <v>42</v>
      </c>
    </row>
    <row r="195" s="87" customFormat="1" ht="14.25" customHeight="1" spans="1:17">
      <c r="A195" s="87">
        <v>42</v>
      </c>
      <c r="B195" s="87" t="str">
        <f t="shared" ref="B195:B258" si="3">LEFT(D195,6)</f>
        <v>170520</v>
      </c>
      <c r="C195" s="94" t="s">
        <v>282</v>
      </c>
      <c r="D195" s="114">
        <v>170520124</v>
      </c>
      <c r="E195" s="38">
        <v>1</v>
      </c>
      <c r="F195" s="114" t="s">
        <v>336</v>
      </c>
      <c r="G195" s="94">
        <v>2</v>
      </c>
      <c r="H195" s="96">
        <v>168.4</v>
      </c>
      <c r="I195" s="96">
        <v>63</v>
      </c>
      <c r="J195" s="43">
        <v>3387</v>
      </c>
      <c r="K195" s="96">
        <v>15.7</v>
      </c>
      <c r="L195" s="96">
        <v>10.1</v>
      </c>
      <c r="M195" s="43">
        <v>165</v>
      </c>
      <c r="N195" s="43"/>
      <c r="O195" s="43">
        <v>46</v>
      </c>
      <c r="P195" s="103"/>
      <c r="Q195" s="97" t="s">
        <v>290</v>
      </c>
    </row>
    <row r="196" s="87" customFormat="1" ht="14.25" customHeight="1" spans="1:17">
      <c r="A196" s="87">
        <v>42</v>
      </c>
      <c r="B196" s="87" t="str">
        <f t="shared" si="3"/>
        <v>170520</v>
      </c>
      <c r="C196" s="94" t="s">
        <v>282</v>
      </c>
      <c r="D196" s="114">
        <v>170520125</v>
      </c>
      <c r="E196" s="38">
        <v>1</v>
      </c>
      <c r="F196" s="114" t="s">
        <v>337</v>
      </c>
      <c r="G196" s="94">
        <v>2</v>
      </c>
      <c r="H196" s="96">
        <v>169.1</v>
      </c>
      <c r="I196" s="96">
        <v>45.5</v>
      </c>
      <c r="J196" s="43">
        <v>2563</v>
      </c>
      <c r="K196" s="96">
        <v>11.2</v>
      </c>
      <c r="L196" s="96">
        <v>8.4</v>
      </c>
      <c r="M196" s="43">
        <v>165</v>
      </c>
      <c r="N196" s="43"/>
      <c r="O196" s="43">
        <v>38</v>
      </c>
      <c r="P196" s="103"/>
      <c r="Q196" s="97" t="s">
        <v>23</v>
      </c>
    </row>
    <row r="197" s="87" customFormat="1" ht="14.25" customHeight="1" spans="1:17">
      <c r="A197" s="87">
        <v>42</v>
      </c>
      <c r="B197" s="87" t="str">
        <f t="shared" si="3"/>
        <v>170520</v>
      </c>
      <c r="C197" s="94" t="s">
        <v>282</v>
      </c>
      <c r="D197" s="114">
        <v>170520126</v>
      </c>
      <c r="E197" s="38">
        <v>1</v>
      </c>
      <c r="F197" s="114" t="s">
        <v>338</v>
      </c>
      <c r="G197" s="94">
        <v>2</v>
      </c>
      <c r="H197" s="96">
        <v>160</v>
      </c>
      <c r="I197" s="96">
        <v>47.4</v>
      </c>
      <c r="J197" s="43">
        <v>3372</v>
      </c>
      <c r="K197" s="96">
        <v>4.6</v>
      </c>
      <c r="L197" s="96">
        <v>10</v>
      </c>
      <c r="M197" s="43">
        <v>155</v>
      </c>
      <c r="N197" s="43"/>
      <c r="O197" s="43">
        <v>48</v>
      </c>
      <c r="P197" s="103"/>
      <c r="Q197" s="97" t="s">
        <v>69</v>
      </c>
    </row>
    <row r="198" s="87" customFormat="1" ht="14.25" customHeight="1" spans="1:17">
      <c r="A198" s="87">
        <v>42</v>
      </c>
      <c r="B198" s="87" t="str">
        <f t="shared" si="3"/>
        <v>170520</v>
      </c>
      <c r="C198" s="94" t="s">
        <v>282</v>
      </c>
      <c r="D198" s="114">
        <v>170520127</v>
      </c>
      <c r="E198" s="38">
        <v>1</v>
      </c>
      <c r="F198" s="114" t="s">
        <v>339</v>
      </c>
      <c r="G198" s="94">
        <v>2</v>
      </c>
      <c r="H198" s="96">
        <v>162.5</v>
      </c>
      <c r="I198" s="96">
        <v>52.5</v>
      </c>
      <c r="J198" s="43">
        <v>3067</v>
      </c>
      <c r="K198" s="96">
        <v>10.1</v>
      </c>
      <c r="L198" s="96">
        <v>10</v>
      </c>
      <c r="M198" s="43">
        <v>155</v>
      </c>
      <c r="N198" s="43"/>
      <c r="O198" s="43">
        <v>38</v>
      </c>
      <c r="P198" s="103"/>
      <c r="Q198" s="97" t="s">
        <v>83</v>
      </c>
    </row>
    <row r="199" s="87" customFormat="1" ht="14.25" customHeight="1" spans="1:17">
      <c r="A199" s="87">
        <v>42</v>
      </c>
      <c r="B199" s="87" t="str">
        <f t="shared" si="3"/>
        <v>170520</v>
      </c>
      <c r="C199" s="94" t="s">
        <v>282</v>
      </c>
      <c r="D199" s="114">
        <v>170520128</v>
      </c>
      <c r="E199" s="38">
        <v>1</v>
      </c>
      <c r="F199" s="114" t="s">
        <v>340</v>
      </c>
      <c r="G199" s="94">
        <v>2</v>
      </c>
      <c r="H199" s="96">
        <v>164.2</v>
      </c>
      <c r="I199" s="96">
        <v>56.2</v>
      </c>
      <c r="J199" s="43">
        <v>4608</v>
      </c>
      <c r="K199" s="96">
        <v>16.6</v>
      </c>
      <c r="L199" s="96">
        <v>10.1</v>
      </c>
      <c r="M199" s="43">
        <v>150</v>
      </c>
      <c r="N199" s="43"/>
      <c r="O199" s="43">
        <v>43</v>
      </c>
      <c r="P199" s="103"/>
      <c r="Q199" s="97" t="s">
        <v>290</v>
      </c>
    </row>
    <row r="200" s="87" customFormat="1" ht="14.25" customHeight="1" spans="1:17">
      <c r="A200" s="87">
        <v>42</v>
      </c>
      <c r="B200" s="87" t="str">
        <f t="shared" si="3"/>
        <v>170520</v>
      </c>
      <c r="C200" s="94" t="s">
        <v>282</v>
      </c>
      <c r="D200" s="114">
        <v>170520129</v>
      </c>
      <c r="E200" s="38">
        <v>1</v>
      </c>
      <c r="F200" s="114" t="s">
        <v>341</v>
      </c>
      <c r="G200" s="94">
        <v>2</v>
      </c>
      <c r="H200" s="96">
        <v>170.2</v>
      </c>
      <c r="I200" s="96">
        <v>50</v>
      </c>
      <c r="J200" s="43">
        <v>3130</v>
      </c>
      <c r="K200" s="96">
        <v>15.1</v>
      </c>
      <c r="L200" s="96">
        <v>9.2</v>
      </c>
      <c r="M200" s="43">
        <v>1.61</v>
      </c>
      <c r="N200" s="43"/>
      <c r="O200" s="43">
        <v>34</v>
      </c>
      <c r="P200" s="103"/>
      <c r="Q200" s="103" t="s">
        <v>44</v>
      </c>
    </row>
    <row r="201" s="87" customFormat="1" ht="14.25" customHeight="1" spans="1:17">
      <c r="A201" s="87">
        <v>42</v>
      </c>
      <c r="B201" s="87" t="str">
        <f t="shared" si="3"/>
        <v>170520</v>
      </c>
      <c r="C201" s="94" t="s">
        <v>282</v>
      </c>
      <c r="D201" s="114">
        <v>170520130</v>
      </c>
      <c r="E201" s="38">
        <v>1</v>
      </c>
      <c r="F201" s="114" t="s">
        <v>342</v>
      </c>
      <c r="G201" s="94">
        <v>2</v>
      </c>
      <c r="H201" s="96">
        <v>165.2</v>
      </c>
      <c r="I201" s="96">
        <v>48.8</v>
      </c>
      <c r="J201" s="43">
        <v>2186</v>
      </c>
      <c r="K201" s="96">
        <v>16.6</v>
      </c>
      <c r="L201" s="96">
        <v>9.7</v>
      </c>
      <c r="M201" s="43">
        <v>162</v>
      </c>
      <c r="N201" s="43"/>
      <c r="O201" s="43">
        <v>30</v>
      </c>
      <c r="P201" s="103"/>
      <c r="Q201" s="97" t="s">
        <v>83</v>
      </c>
    </row>
    <row r="202" s="87" customFormat="1" ht="14.25" customHeight="1" spans="1:17">
      <c r="A202" s="87">
        <v>42</v>
      </c>
      <c r="B202" s="87" t="str">
        <f t="shared" si="3"/>
        <v>170520</v>
      </c>
      <c r="C202" s="94" t="s">
        <v>282</v>
      </c>
      <c r="D202" s="114">
        <v>170520131</v>
      </c>
      <c r="E202" s="38">
        <v>1</v>
      </c>
      <c r="F202" s="114" t="s">
        <v>343</v>
      </c>
      <c r="G202" s="94">
        <v>2</v>
      </c>
      <c r="H202" s="96">
        <v>168.6</v>
      </c>
      <c r="I202" s="96">
        <v>58</v>
      </c>
      <c r="J202" s="43">
        <v>2200</v>
      </c>
      <c r="K202" s="96">
        <v>14.3</v>
      </c>
      <c r="L202" s="96">
        <v>9.9</v>
      </c>
      <c r="M202" s="43">
        <v>165</v>
      </c>
      <c r="N202" s="43"/>
      <c r="O202" s="43">
        <v>41</v>
      </c>
      <c r="P202" s="103"/>
      <c r="Q202" s="97" t="s">
        <v>44</v>
      </c>
    </row>
    <row r="203" s="87" customFormat="1" ht="14.25" customHeight="1" spans="1:17">
      <c r="A203" s="87">
        <v>42</v>
      </c>
      <c r="B203" s="87" t="str">
        <f t="shared" si="3"/>
        <v>170520</v>
      </c>
      <c r="C203" s="94" t="s">
        <v>282</v>
      </c>
      <c r="D203" s="114">
        <v>170520132</v>
      </c>
      <c r="E203" s="38">
        <v>1</v>
      </c>
      <c r="F203" s="114" t="s">
        <v>344</v>
      </c>
      <c r="G203" s="94">
        <v>2</v>
      </c>
      <c r="H203" s="96">
        <v>165.2</v>
      </c>
      <c r="I203" s="96">
        <v>58.3</v>
      </c>
      <c r="J203" s="43">
        <v>2046</v>
      </c>
      <c r="K203" s="96">
        <v>14.7</v>
      </c>
      <c r="L203" s="96">
        <v>10.1</v>
      </c>
      <c r="M203" s="43">
        <v>165</v>
      </c>
      <c r="N203" s="43"/>
      <c r="O203" s="43">
        <v>41</v>
      </c>
      <c r="P203" s="103"/>
      <c r="Q203" s="97" t="s">
        <v>31</v>
      </c>
    </row>
    <row r="204" s="87" customFormat="1" ht="14.25" customHeight="1" spans="1:17">
      <c r="A204" s="87">
        <v>42</v>
      </c>
      <c r="B204" s="87" t="str">
        <f t="shared" si="3"/>
        <v>170520</v>
      </c>
      <c r="C204" s="94" t="s">
        <v>282</v>
      </c>
      <c r="D204" s="114">
        <v>170520133</v>
      </c>
      <c r="E204" s="38">
        <v>1</v>
      </c>
      <c r="F204" s="114" t="s">
        <v>345</v>
      </c>
      <c r="G204" s="94">
        <v>2</v>
      </c>
      <c r="H204" s="96">
        <v>161.2</v>
      </c>
      <c r="I204" s="96">
        <v>56.7</v>
      </c>
      <c r="J204" s="43">
        <v>3477</v>
      </c>
      <c r="K204" s="96">
        <v>15.8</v>
      </c>
      <c r="L204" s="96">
        <v>10.8</v>
      </c>
      <c r="M204" s="43">
        <v>165</v>
      </c>
      <c r="N204" s="43" t="s">
        <v>285</v>
      </c>
      <c r="O204" s="43">
        <v>38</v>
      </c>
      <c r="P204" s="103"/>
      <c r="Q204" s="97" t="s">
        <v>57</v>
      </c>
    </row>
    <row r="205" s="87" customFormat="1" ht="14.25" customHeight="1" spans="1:17">
      <c r="A205" s="87">
        <v>42</v>
      </c>
      <c r="B205" s="87" t="str">
        <f t="shared" si="3"/>
        <v>170520</v>
      </c>
      <c r="C205" s="94" t="s">
        <v>282</v>
      </c>
      <c r="D205" s="114">
        <v>170520134</v>
      </c>
      <c r="E205" s="38">
        <v>1</v>
      </c>
      <c r="F205" s="114" t="s">
        <v>346</v>
      </c>
      <c r="G205" s="94">
        <v>2</v>
      </c>
      <c r="H205" s="96">
        <v>152.1</v>
      </c>
      <c r="I205" s="96">
        <v>40</v>
      </c>
      <c r="J205" s="43">
        <v>2312</v>
      </c>
      <c r="K205" s="96">
        <v>21.4</v>
      </c>
      <c r="L205" s="96">
        <v>9.5</v>
      </c>
      <c r="M205" s="43">
        <v>168</v>
      </c>
      <c r="N205" s="43" t="s">
        <v>285</v>
      </c>
      <c r="O205" s="43">
        <v>62</v>
      </c>
      <c r="P205" s="103"/>
      <c r="Q205" s="97" t="s">
        <v>57</v>
      </c>
    </row>
    <row r="206" s="87" customFormat="1" ht="14.25" customHeight="1" spans="1:17">
      <c r="A206" s="87">
        <v>42</v>
      </c>
      <c r="B206" s="87" t="str">
        <f t="shared" si="3"/>
        <v>170520</v>
      </c>
      <c r="C206" s="94" t="s">
        <v>282</v>
      </c>
      <c r="D206" s="114">
        <v>170520135</v>
      </c>
      <c r="E206" s="38">
        <v>1</v>
      </c>
      <c r="F206" s="114" t="s">
        <v>347</v>
      </c>
      <c r="G206" s="94">
        <v>2</v>
      </c>
      <c r="H206" s="96">
        <v>163.3</v>
      </c>
      <c r="I206" s="96">
        <v>66.8</v>
      </c>
      <c r="J206" s="43">
        <v>3220</v>
      </c>
      <c r="K206" s="96">
        <v>9.4</v>
      </c>
      <c r="L206" s="96">
        <v>9.5</v>
      </c>
      <c r="M206" s="43">
        <v>165</v>
      </c>
      <c r="N206" s="43"/>
      <c r="O206" s="43">
        <v>58</v>
      </c>
      <c r="P206" s="103"/>
      <c r="Q206" s="97" t="s">
        <v>71</v>
      </c>
    </row>
    <row r="207" s="87" customFormat="1" ht="14.25" customHeight="1" spans="1:17">
      <c r="A207" s="87">
        <v>42</v>
      </c>
      <c r="B207" s="87" t="str">
        <f t="shared" si="3"/>
        <v>170520</v>
      </c>
      <c r="C207" s="94" t="s">
        <v>282</v>
      </c>
      <c r="D207" s="114">
        <v>170520136</v>
      </c>
      <c r="E207" s="38">
        <v>1</v>
      </c>
      <c r="F207" s="114" t="s">
        <v>348</v>
      </c>
      <c r="G207" s="94">
        <v>2</v>
      </c>
      <c r="H207" s="96">
        <v>162.1</v>
      </c>
      <c r="I207" s="96">
        <v>45</v>
      </c>
      <c r="J207" s="43">
        <v>2401</v>
      </c>
      <c r="K207" s="96">
        <v>9.6</v>
      </c>
      <c r="L207" s="96">
        <v>9.7</v>
      </c>
      <c r="M207" s="43">
        <v>164</v>
      </c>
      <c r="N207" s="43"/>
      <c r="O207" s="43">
        <v>36</v>
      </c>
      <c r="P207" s="103"/>
      <c r="Q207" s="97" t="s">
        <v>44</v>
      </c>
    </row>
    <row r="208" s="87" customFormat="1" ht="14.25" customHeight="1" spans="1:17">
      <c r="A208" s="87">
        <v>42</v>
      </c>
      <c r="B208" s="87" t="str">
        <f t="shared" si="3"/>
        <v>170520</v>
      </c>
      <c r="C208" s="94" t="s">
        <v>282</v>
      </c>
      <c r="D208" s="114">
        <v>170520137</v>
      </c>
      <c r="E208" s="38">
        <v>1</v>
      </c>
      <c r="F208" s="114" t="s">
        <v>349</v>
      </c>
      <c r="G208" s="94">
        <v>2</v>
      </c>
      <c r="H208" s="96">
        <v>173.1</v>
      </c>
      <c r="I208" s="96">
        <v>68.8</v>
      </c>
      <c r="J208" s="43">
        <v>3180</v>
      </c>
      <c r="K208" s="96">
        <v>14.5</v>
      </c>
      <c r="L208" s="96">
        <v>9.9</v>
      </c>
      <c r="M208" s="43">
        <v>170</v>
      </c>
      <c r="N208" s="43"/>
      <c r="O208" s="43">
        <v>45</v>
      </c>
      <c r="P208" s="103"/>
      <c r="Q208" s="97" t="s">
        <v>27</v>
      </c>
    </row>
    <row r="209" s="87" customFormat="1" ht="14.25" customHeight="1" spans="1:17">
      <c r="A209" s="87">
        <v>42</v>
      </c>
      <c r="B209" s="87" t="str">
        <f t="shared" si="3"/>
        <v>170520</v>
      </c>
      <c r="C209" s="94" t="s">
        <v>282</v>
      </c>
      <c r="D209" s="114">
        <v>170520138</v>
      </c>
      <c r="E209" s="38">
        <v>1</v>
      </c>
      <c r="F209" s="114" t="s">
        <v>350</v>
      </c>
      <c r="G209" s="94">
        <v>2</v>
      </c>
      <c r="H209" s="96">
        <v>164.3</v>
      </c>
      <c r="I209" s="96">
        <v>50</v>
      </c>
      <c r="J209" s="43">
        <v>3194</v>
      </c>
      <c r="K209" s="96">
        <v>19.8</v>
      </c>
      <c r="L209" s="96">
        <v>9.2</v>
      </c>
      <c r="M209" s="43">
        <v>169</v>
      </c>
      <c r="N209" s="43"/>
      <c r="O209" s="43">
        <v>39</v>
      </c>
      <c r="P209" s="103"/>
      <c r="Q209" s="97" t="s">
        <v>27</v>
      </c>
    </row>
    <row r="210" s="87" customFormat="1" ht="14.25" customHeight="1" spans="1:17">
      <c r="A210" s="87">
        <v>42</v>
      </c>
      <c r="B210" s="87" t="str">
        <f t="shared" si="3"/>
        <v>170520</v>
      </c>
      <c r="C210" s="94" t="s">
        <v>282</v>
      </c>
      <c r="D210" s="114">
        <v>170520139</v>
      </c>
      <c r="E210" s="38">
        <v>16</v>
      </c>
      <c r="F210" s="114" t="s">
        <v>351</v>
      </c>
      <c r="G210" s="94">
        <v>2</v>
      </c>
      <c r="H210" s="96">
        <v>160.1</v>
      </c>
      <c r="I210" s="96">
        <v>47.4</v>
      </c>
      <c r="J210" s="43">
        <v>3060</v>
      </c>
      <c r="K210" s="96">
        <v>17.7</v>
      </c>
      <c r="L210" s="96">
        <v>9.6</v>
      </c>
      <c r="M210" s="43">
        <v>165</v>
      </c>
      <c r="N210" s="43"/>
      <c r="O210" s="43">
        <v>35</v>
      </c>
      <c r="P210" s="103"/>
      <c r="Q210" s="97" t="s">
        <v>79</v>
      </c>
    </row>
    <row r="211" s="87" customFormat="1" ht="14.25" customHeight="1" spans="1:17">
      <c r="A211" s="87">
        <v>42</v>
      </c>
      <c r="B211" s="87" t="str">
        <f t="shared" si="3"/>
        <v>170520</v>
      </c>
      <c r="C211" s="94" t="s">
        <v>282</v>
      </c>
      <c r="D211" s="114">
        <v>170520140</v>
      </c>
      <c r="E211" s="38">
        <v>1</v>
      </c>
      <c r="F211" s="114" t="s">
        <v>352</v>
      </c>
      <c r="G211" s="94">
        <v>2</v>
      </c>
      <c r="H211" s="96">
        <v>168.6</v>
      </c>
      <c r="I211" s="96">
        <v>61.2</v>
      </c>
      <c r="J211" s="43">
        <v>3537</v>
      </c>
      <c r="K211" s="96">
        <v>12.8</v>
      </c>
      <c r="L211" s="96">
        <v>9.2</v>
      </c>
      <c r="M211" s="43">
        <v>166</v>
      </c>
      <c r="N211" s="43"/>
      <c r="O211" s="43">
        <v>47</v>
      </c>
      <c r="P211" s="103"/>
      <c r="Q211" s="97" t="s">
        <v>79</v>
      </c>
    </row>
    <row r="212" s="87" customFormat="1" ht="14.25" customHeight="1" spans="1:17">
      <c r="A212" s="87">
        <v>42</v>
      </c>
      <c r="B212" s="87" t="str">
        <f t="shared" si="3"/>
        <v>170520</v>
      </c>
      <c r="C212" s="94" t="s">
        <v>282</v>
      </c>
      <c r="D212" s="114">
        <v>170520167</v>
      </c>
      <c r="E212" s="38">
        <v>1</v>
      </c>
      <c r="F212" s="114" t="s">
        <v>353</v>
      </c>
      <c r="G212" s="94">
        <v>1</v>
      </c>
      <c r="H212" s="96">
        <v>175.5</v>
      </c>
      <c r="I212" s="96">
        <v>58.5</v>
      </c>
      <c r="J212" s="43">
        <v>3787</v>
      </c>
      <c r="K212" s="96">
        <v>8.5</v>
      </c>
      <c r="L212" s="96">
        <v>7.2</v>
      </c>
      <c r="M212" s="43">
        <v>210</v>
      </c>
      <c r="N212" s="43">
        <v>7</v>
      </c>
      <c r="O212" s="43" t="s">
        <v>285</v>
      </c>
      <c r="P212" s="97" t="s">
        <v>175</v>
      </c>
      <c r="Q212" s="97"/>
    </row>
    <row r="213" s="87" customFormat="1" ht="14.25" customHeight="1" spans="1:17">
      <c r="A213" s="87">
        <v>42</v>
      </c>
      <c r="B213" s="87" t="str">
        <f t="shared" si="3"/>
        <v>170520</v>
      </c>
      <c r="C213" s="94" t="s">
        <v>282</v>
      </c>
      <c r="D213" s="114">
        <v>170520164</v>
      </c>
      <c r="E213" s="38">
        <v>1</v>
      </c>
      <c r="F213" s="114" t="s">
        <v>354</v>
      </c>
      <c r="G213" s="94">
        <v>1</v>
      </c>
      <c r="H213" s="96">
        <v>178.9</v>
      </c>
      <c r="I213" s="96">
        <v>90.1</v>
      </c>
      <c r="J213" s="43">
        <v>3952</v>
      </c>
      <c r="K213" s="96">
        <v>8.7</v>
      </c>
      <c r="L213" s="96">
        <v>8</v>
      </c>
      <c r="M213" s="43">
        <v>220</v>
      </c>
      <c r="N213" s="43">
        <v>8</v>
      </c>
      <c r="O213" s="43"/>
      <c r="P213" s="97" t="s">
        <v>355</v>
      </c>
      <c r="Q213" s="97"/>
    </row>
    <row r="214" s="87" customFormat="1" ht="14.25" customHeight="1" spans="1:17">
      <c r="A214" s="87">
        <v>42</v>
      </c>
      <c r="B214" s="87" t="str">
        <f t="shared" si="3"/>
        <v>170520</v>
      </c>
      <c r="C214" s="94" t="s">
        <v>282</v>
      </c>
      <c r="D214" s="114">
        <v>170520168</v>
      </c>
      <c r="E214" s="38">
        <v>1</v>
      </c>
      <c r="F214" s="114" t="s">
        <v>356</v>
      </c>
      <c r="G214" s="94">
        <v>1</v>
      </c>
      <c r="H214" s="96">
        <v>177.5</v>
      </c>
      <c r="I214" s="96">
        <v>63.2</v>
      </c>
      <c r="J214" s="43">
        <v>3356</v>
      </c>
      <c r="K214" s="96">
        <v>4.6</v>
      </c>
      <c r="L214" s="96">
        <v>8.4</v>
      </c>
      <c r="M214" s="43">
        <v>215</v>
      </c>
      <c r="N214" s="43">
        <v>1</v>
      </c>
      <c r="O214" s="43"/>
      <c r="P214" s="97" t="s">
        <v>23</v>
      </c>
      <c r="Q214" s="97"/>
    </row>
    <row r="215" s="87" customFormat="1" ht="14.25" customHeight="1" spans="1:17">
      <c r="A215" s="87">
        <v>42</v>
      </c>
      <c r="B215" s="87" t="str">
        <f t="shared" si="3"/>
        <v>170520</v>
      </c>
      <c r="C215" s="94" t="s">
        <v>282</v>
      </c>
      <c r="D215" s="114">
        <v>170520169</v>
      </c>
      <c r="E215" s="38">
        <v>1</v>
      </c>
      <c r="F215" s="114" t="s">
        <v>357</v>
      </c>
      <c r="G215" s="94">
        <v>2</v>
      </c>
      <c r="H215" s="96">
        <v>161.1</v>
      </c>
      <c r="I215" s="96">
        <v>49</v>
      </c>
      <c r="J215" s="43">
        <v>2599</v>
      </c>
      <c r="K215" s="96">
        <v>13.6</v>
      </c>
      <c r="L215" s="96">
        <v>9.1</v>
      </c>
      <c r="M215" s="43">
        <v>175</v>
      </c>
      <c r="N215" s="43"/>
      <c r="O215" s="43">
        <v>45</v>
      </c>
      <c r="P215" s="97"/>
      <c r="Q215" s="97" t="s">
        <v>209</v>
      </c>
    </row>
    <row r="216" s="87" customFormat="1" ht="14.25" customHeight="1" spans="1:17">
      <c r="A216" s="87">
        <v>42</v>
      </c>
      <c r="B216" s="87" t="str">
        <f t="shared" si="3"/>
        <v>170520</v>
      </c>
      <c r="C216" s="94" t="s">
        <v>282</v>
      </c>
      <c r="D216" s="114">
        <v>170520165</v>
      </c>
      <c r="E216" s="38">
        <v>1</v>
      </c>
      <c r="F216" s="114" t="s">
        <v>358</v>
      </c>
      <c r="G216" s="94">
        <v>2</v>
      </c>
      <c r="H216" s="96">
        <v>158.6</v>
      </c>
      <c r="I216" s="96">
        <v>78.4</v>
      </c>
      <c r="J216" s="43">
        <v>3309</v>
      </c>
      <c r="K216" s="96">
        <v>13.9</v>
      </c>
      <c r="L216" s="96">
        <v>10.8</v>
      </c>
      <c r="M216" s="43">
        <v>168</v>
      </c>
      <c r="N216" s="43"/>
      <c r="O216" s="43">
        <v>36</v>
      </c>
      <c r="P216" s="97"/>
      <c r="Q216" s="97" t="s">
        <v>163</v>
      </c>
    </row>
    <row r="217" s="87" customFormat="1" ht="14.25" customHeight="1" spans="1:17">
      <c r="A217" s="87">
        <v>42</v>
      </c>
      <c r="B217" s="87" t="str">
        <f t="shared" si="3"/>
        <v>170520</v>
      </c>
      <c r="C217" s="94" t="s">
        <v>282</v>
      </c>
      <c r="D217" s="114">
        <v>170520166</v>
      </c>
      <c r="E217" s="38">
        <v>1</v>
      </c>
      <c r="F217" s="114" t="s">
        <v>359</v>
      </c>
      <c r="G217" s="94">
        <v>2</v>
      </c>
      <c r="H217" s="96">
        <v>159.5</v>
      </c>
      <c r="I217" s="96">
        <v>51.2</v>
      </c>
      <c r="J217" s="43">
        <v>2400</v>
      </c>
      <c r="K217" s="96">
        <v>11</v>
      </c>
      <c r="L217" s="96">
        <v>12.7</v>
      </c>
      <c r="M217" s="43">
        <v>168</v>
      </c>
      <c r="N217" s="43"/>
      <c r="O217" s="43">
        <v>38</v>
      </c>
      <c r="P217" s="97"/>
      <c r="Q217" s="97" t="s">
        <v>113</v>
      </c>
    </row>
    <row r="218" s="87" customFormat="1" ht="14.25" customHeight="1" spans="1:17">
      <c r="A218" s="87">
        <v>42</v>
      </c>
      <c r="B218" s="87" t="str">
        <f t="shared" si="3"/>
        <v>170520</v>
      </c>
      <c r="C218" s="94" t="s">
        <v>282</v>
      </c>
      <c r="D218" s="114">
        <v>170520170</v>
      </c>
      <c r="E218" s="38">
        <v>1</v>
      </c>
      <c r="F218" s="114" t="s">
        <v>360</v>
      </c>
      <c r="G218" s="94">
        <v>2</v>
      </c>
      <c r="H218" s="96">
        <v>168</v>
      </c>
      <c r="I218" s="96">
        <v>56</v>
      </c>
      <c r="J218" s="43">
        <v>2499</v>
      </c>
      <c r="K218" s="96">
        <v>14.1</v>
      </c>
      <c r="L218" s="96">
        <v>9.1</v>
      </c>
      <c r="M218" s="43">
        <v>210</v>
      </c>
      <c r="N218" s="43"/>
      <c r="O218" s="43">
        <v>38</v>
      </c>
      <c r="P218" s="97"/>
      <c r="Q218" s="97" t="s">
        <v>75</v>
      </c>
    </row>
    <row r="219" s="31" customFormat="1" ht="14.25" customHeight="1" spans="1:17">
      <c r="A219" s="87">
        <v>42</v>
      </c>
      <c r="B219" s="87" t="str">
        <f t="shared" si="3"/>
        <v>170520</v>
      </c>
      <c r="C219" s="94" t="s">
        <v>361</v>
      </c>
      <c r="D219" s="38">
        <v>170520201</v>
      </c>
      <c r="E219" s="38">
        <v>1</v>
      </c>
      <c r="F219" s="38" t="s">
        <v>362</v>
      </c>
      <c r="G219" s="38">
        <v>2</v>
      </c>
      <c r="H219" s="96">
        <v>164.2</v>
      </c>
      <c r="I219" s="96">
        <v>60</v>
      </c>
      <c r="J219" s="38">
        <v>2900</v>
      </c>
      <c r="K219" s="96">
        <v>15.2</v>
      </c>
      <c r="L219" s="96">
        <v>9.8</v>
      </c>
      <c r="M219" s="38">
        <v>142</v>
      </c>
      <c r="N219" s="38"/>
      <c r="O219" s="38">
        <v>30</v>
      </c>
      <c r="P219" s="97"/>
      <c r="Q219" s="97" t="s">
        <v>280</v>
      </c>
    </row>
    <row r="220" s="31" customFormat="1" ht="14.25" customHeight="1" spans="1:17">
      <c r="A220" s="87">
        <v>42</v>
      </c>
      <c r="B220" s="87" t="str">
        <f t="shared" si="3"/>
        <v>170520</v>
      </c>
      <c r="C220" s="94" t="s">
        <v>361</v>
      </c>
      <c r="D220" s="38">
        <v>170520202</v>
      </c>
      <c r="E220" s="38">
        <v>1</v>
      </c>
      <c r="F220" s="38" t="s">
        <v>363</v>
      </c>
      <c r="G220" s="38">
        <v>2</v>
      </c>
      <c r="H220" s="96">
        <v>160</v>
      </c>
      <c r="I220" s="96">
        <v>48.2</v>
      </c>
      <c r="J220" s="38">
        <v>2770</v>
      </c>
      <c r="K220" s="96">
        <v>14.1</v>
      </c>
      <c r="L220" s="96">
        <v>8.9</v>
      </c>
      <c r="M220" s="38">
        <v>152</v>
      </c>
      <c r="N220" s="38"/>
      <c r="O220" s="38">
        <v>42</v>
      </c>
      <c r="P220" s="97"/>
      <c r="Q220" s="97" t="s">
        <v>302</v>
      </c>
    </row>
    <row r="221" s="31" customFormat="1" ht="14.25" customHeight="1" spans="1:17">
      <c r="A221" s="87">
        <v>42</v>
      </c>
      <c r="B221" s="87" t="str">
        <f t="shared" si="3"/>
        <v>170520</v>
      </c>
      <c r="C221" s="94" t="s">
        <v>361</v>
      </c>
      <c r="D221" s="38">
        <v>170520203</v>
      </c>
      <c r="E221" s="38">
        <v>1</v>
      </c>
      <c r="F221" s="38" t="s">
        <v>364</v>
      </c>
      <c r="G221" s="38">
        <v>2</v>
      </c>
      <c r="H221" s="96">
        <v>162.3</v>
      </c>
      <c r="I221" s="96">
        <v>57</v>
      </c>
      <c r="J221" s="38">
        <v>2702</v>
      </c>
      <c r="K221" s="96">
        <v>16.7</v>
      </c>
      <c r="L221" s="96">
        <v>9.6</v>
      </c>
      <c r="M221" s="38">
        <v>150</v>
      </c>
      <c r="N221" s="38"/>
      <c r="O221" s="38">
        <v>30</v>
      </c>
      <c r="P221" s="97"/>
      <c r="Q221" s="97" t="s">
        <v>25</v>
      </c>
    </row>
    <row r="222" s="31" customFormat="1" ht="14.25" customHeight="1" spans="1:17">
      <c r="A222" s="87">
        <v>42</v>
      </c>
      <c r="B222" s="87" t="str">
        <f t="shared" si="3"/>
        <v>170520</v>
      </c>
      <c r="C222" s="94" t="s">
        <v>361</v>
      </c>
      <c r="D222" s="38">
        <v>170520204</v>
      </c>
      <c r="E222" s="38">
        <v>1</v>
      </c>
      <c r="F222" s="38" t="s">
        <v>365</v>
      </c>
      <c r="G222" s="38">
        <v>2</v>
      </c>
      <c r="H222" s="96">
        <v>166.7</v>
      </c>
      <c r="I222" s="96">
        <v>43.4</v>
      </c>
      <c r="J222" s="38">
        <v>2030</v>
      </c>
      <c r="K222" s="96">
        <v>9.2</v>
      </c>
      <c r="L222" s="96">
        <v>9.1</v>
      </c>
      <c r="M222" s="38">
        <v>175</v>
      </c>
      <c r="N222" s="38"/>
      <c r="O222" s="38">
        <v>43</v>
      </c>
      <c r="P222" s="97"/>
      <c r="Q222" s="97" t="s">
        <v>366</v>
      </c>
    </row>
    <row r="223" s="31" customFormat="1" ht="14.25" customHeight="1" spans="1:17">
      <c r="A223" s="87">
        <v>42</v>
      </c>
      <c r="B223" s="87" t="str">
        <f t="shared" si="3"/>
        <v>170520</v>
      </c>
      <c r="C223" s="94" t="s">
        <v>361</v>
      </c>
      <c r="D223" s="38">
        <v>170520205</v>
      </c>
      <c r="E223" s="38">
        <v>1</v>
      </c>
      <c r="F223" s="38" t="s">
        <v>367</v>
      </c>
      <c r="G223" s="38">
        <v>2</v>
      </c>
      <c r="H223" s="96">
        <v>169</v>
      </c>
      <c r="I223" s="96">
        <v>45.2</v>
      </c>
      <c r="J223" s="38">
        <v>2956</v>
      </c>
      <c r="K223" s="96">
        <v>17.7</v>
      </c>
      <c r="L223" s="96">
        <v>9.1</v>
      </c>
      <c r="M223" s="38">
        <v>160</v>
      </c>
      <c r="N223" s="38"/>
      <c r="O223" s="38">
        <v>41</v>
      </c>
      <c r="P223" s="97"/>
      <c r="Q223" s="97" t="s">
        <v>27</v>
      </c>
    </row>
    <row r="224" s="31" customFormat="1" ht="14.25" customHeight="1" spans="1:17">
      <c r="A224" s="87">
        <v>42</v>
      </c>
      <c r="B224" s="87" t="str">
        <f t="shared" si="3"/>
        <v>170520</v>
      </c>
      <c r="C224" s="94" t="s">
        <v>361</v>
      </c>
      <c r="D224" s="38">
        <v>170520206</v>
      </c>
      <c r="E224" s="38">
        <v>1</v>
      </c>
      <c r="F224" s="38" t="s">
        <v>368</v>
      </c>
      <c r="G224" s="38">
        <v>2</v>
      </c>
      <c r="H224" s="96">
        <v>170.6</v>
      </c>
      <c r="I224" s="96">
        <v>70.7</v>
      </c>
      <c r="J224" s="38">
        <v>2774</v>
      </c>
      <c r="K224" s="96">
        <v>19.2</v>
      </c>
      <c r="L224" s="96">
        <v>8.4</v>
      </c>
      <c r="M224" s="38">
        <v>168</v>
      </c>
      <c r="N224" s="38"/>
      <c r="O224" s="38">
        <v>36</v>
      </c>
      <c r="P224" s="97"/>
      <c r="Q224" s="97" t="s">
        <v>69</v>
      </c>
    </row>
    <row r="225" s="31" customFormat="1" ht="14.25" customHeight="1" spans="1:17">
      <c r="A225" s="87">
        <v>42</v>
      </c>
      <c r="B225" s="87" t="str">
        <f t="shared" si="3"/>
        <v>170520</v>
      </c>
      <c r="C225" s="94" t="s">
        <v>361</v>
      </c>
      <c r="D225" s="38">
        <v>170520264</v>
      </c>
      <c r="E225" s="38">
        <v>1</v>
      </c>
      <c r="F225" s="38" t="s">
        <v>369</v>
      </c>
      <c r="G225" s="38">
        <v>1</v>
      </c>
      <c r="H225" s="96">
        <v>177</v>
      </c>
      <c r="I225" s="96">
        <v>62</v>
      </c>
      <c r="J225" s="38">
        <v>3670</v>
      </c>
      <c r="K225" s="96">
        <v>18.4</v>
      </c>
      <c r="L225" s="96">
        <v>8.3</v>
      </c>
      <c r="M225" s="38">
        <v>240</v>
      </c>
      <c r="N225" s="38">
        <v>7</v>
      </c>
      <c r="O225" s="38"/>
      <c r="P225" s="97" t="s">
        <v>113</v>
      </c>
      <c r="Q225" s="97"/>
    </row>
    <row r="226" s="31" customFormat="1" ht="14.25" customHeight="1" spans="1:17">
      <c r="A226" s="87">
        <v>42</v>
      </c>
      <c r="B226" s="87" t="str">
        <f t="shared" si="3"/>
        <v>170520</v>
      </c>
      <c r="C226" s="94" t="s">
        <v>361</v>
      </c>
      <c r="D226" s="38">
        <v>170520266</v>
      </c>
      <c r="E226" s="38">
        <v>1</v>
      </c>
      <c r="F226" s="38" t="s">
        <v>370</v>
      </c>
      <c r="G226" s="38">
        <v>2</v>
      </c>
      <c r="H226" s="96">
        <v>168.4</v>
      </c>
      <c r="I226" s="96">
        <v>51.4</v>
      </c>
      <c r="J226" s="38">
        <v>3216</v>
      </c>
      <c r="K226" s="96">
        <v>14.9</v>
      </c>
      <c r="L226" s="96">
        <v>9.4</v>
      </c>
      <c r="M226" s="38">
        <v>170</v>
      </c>
      <c r="N226" s="38"/>
      <c r="O226" s="38">
        <v>32</v>
      </c>
      <c r="P226" s="97"/>
      <c r="Q226" s="97" t="s">
        <v>137</v>
      </c>
    </row>
    <row r="227" s="31" customFormat="1" ht="14.25" customHeight="1" spans="1:17">
      <c r="A227" s="87">
        <v>42</v>
      </c>
      <c r="B227" s="87" t="str">
        <f t="shared" si="3"/>
        <v>170520</v>
      </c>
      <c r="C227" s="94" t="s">
        <v>361</v>
      </c>
      <c r="D227" s="38">
        <v>170520267</v>
      </c>
      <c r="E227" s="38">
        <v>1</v>
      </c>
      <c r="F227" s="38" t="s">
        <v>371</v>
      </c>
      <c r="G227" s="38">
        <v>2</v>
      </c>
      <c r="H227" s="96">
        <v>169</v>
      </c>
      <c r="I227" s="96">
        <v>46</v>
      </c>
      <c r="J227" s="38">
        <v>2658</v>
      </c>
      <c r="K227" s="96">
        <v>15.6</v>
      </c>
      <c r="L227" s="96">
        <v>9.8</v>
      </c>
      <c r="M227" s="38">
        <v>160</v>
      </c>
      <c r="N227" s="38"/>
      <c r="O227" s="38">
        <v>38</v>
      </c>
      <c r="P227" s="97"/>
      <c r="Q227" s="97"/>
    </row>
    <row r="228" s="31" customFormat="1" ht="14.25" customHeight="1" spans="1:17">
      <c r="A228" s="87">
        <v>42</v>
      </c>
      <c r="B228" s="87" t="str">
        <f t="shared" si="3"/>
        <v>170520</v>
      </c>
      <c r="C228" s="94" t="s">
        <v>361</v>
      </c>
      <c r="D228" s="38">
        <v>170520268</v>
      </c>
      <c r="E228" s="38">
        <v>1</v>
      </c>
      <c r="F228" s="38" t="s">
        <v>372</v>
      </c>
      <c r="G228" s="38">
        <v>1</v>
      </c>
      <c r="H228" s="96">
        <v>175</v>
      </c>
      <c r="I228" s="96">
        <v>65.3</v>
      </c>
      <c r="J228" s="38">
        <v>4262</v>
      </c>
      <c r="K228" s="96">
        <v>18.5</v>
      </c>
      <c r="L228" s="96">
        <v>8.5</v>
      </c>
      <c r="M228" s="38">
        <v>220</v>
      </c>
      <c r="N228" s="38">
        <v>10</v>
      </c>
      <c r="O228" s="38"/>
      <c r="P228" s="97" t="s">
        <v>49</v>
      </c>
      <c r="Q228" s="97"/>
    </row>
    <row r="229" s="31" customFormat="1" ht="14.25" customHeight="1" spans="1:17">
      <c r="A229" s="87">
        <v>42</v>
      </c>
      <c r="B229" s="87" t="str">
        <f t="shared" si="3"/>
        <v>170520</v>
      </c>
      <c r="C229" s="94" t="s">
        <v>361</v>
      </c>
      <c r="D229" s="38">
        <v>170520265</v>
      </c>
      <c r="E229" s="38">
        <v>1</v>
      </c>
      <c r="F229" s="38" t="s">
        <v>373</v>
      </c>
      <c r="G229" s="38">
        <v>1</v>
      </c>
      <c r="H229" s="96">
        <v>179.1</v>
      </c>
      <c r="I229" s="96">
        <v>71.1</v>
      </c>
      <c r="J229" s="38">
        <v>4340</v>
      </c>
      <c r="K229" s="96">
        <v>20.9</v>
      </c>
      <c r="L229" s="96">
        <v>8.3</v>
      </c>
      <c r="M229" s="38">
        <v>205</v>
      </c>
      <c r="N229" s="38">
        <v>5</v>
      </c>
      <c r="O229" s="38"/>
      <c r="P229" s="97" t="s">
        <v>290</v>
      </c>
      <c r="Q229" s="97"/>
    </row>
    <row r="230" s="31" customFormat="1" ht="14.25" customHeight="1" spans="1:17">
      <c r="A230" s="87">
        <v>42</v>
      </c>
      <c r="B230" s="87" t="str">
        <f t="shared" si="3"/>
        <v>170520</v>
      </c>
      <c r="C230" s="94" t="s">
        <v>361</v>
      </c>
      <c r="D230" s="38">
        <v>170520207</v>
      </c>
      <c r="E230" s="38">
        <v>1</v>
      </c>
      <c r="F230" s="38" t="s">
        <v>374</v>
      </c>
      <c r="G230" s="38">
        <v>2</v>
      </c>
      <c r="H230" s="96">
        <v>165.2</v>
      </c>
      <c r="I230" s="96">
        <v>50</v>
      </c>
      <c r="J230" s="38">
        <v>2551</v>
      </c>
      <c r="K230" s="96">
        <v>20.9</v>
      </c>
      <c r="L230" s="96">
        <v>8.8</v>
      </c>
      <c r="M230" s="38">
        <v>183</v>
      </c>
      <c r="N230" s="38"/>
      <c r="O230" s="38">
        <v>38</v>
      </c>
      <c r="P230" s="97"/>
      <c r="Q230" s="97" t="s">
        <v>375</v>
      </c>
    </row>
    <row r="231" s="31" customFormat="1" ht="14.25" customHeight="1" spans="1:17">
      <c r="A231" s="87">
        <v>42</v>
      </c>
      <c r="B231" s="87" t="str">
        <f t="shared" si="3"/>
        <v>170520</v>
      </c>
      <c r="C231" s="94" t="s">
        <v>361</v>
      </c>
      <c r="D231" s="38">
        <v>170520208</v>
      </c>
      <c r="E231" s="38">
        <v>1</v>
      </c>
      <c r="F231" s="38" t="s">
        <v>376</v>
      </c>
      <c r="G231" s="38">
        <v>2</v>
      </c>
      <c r="H231" s="96">
        <v>171.2</v>
      </c>
      <c r="I231" s="96">
        <v>59.3</v>
      </c>
      <c r="J231" s="38">
        <v>3082</v>
      </c>
      <c r="K231" s="96">
        <v>18.8</v>
      </c>
      <c r="L231" s="96">
        <v>9.8</v>
      </c>
      <c r="M231" s="38">
        <v>146</v>
      </c>
      <c r="N231" s="38"/>
      <c r="O231" s="38">
        <v>41</v>
      </c>
      <c r="P231" s="97"/>
      <c r="Q231" s="97" t="s">
        <v>60</v>
      </c>
    </row>
    <row r="232" s="31" customFormat="1" ht="14.25" customHeight="1" spans="1:17">
      <c r="A232" s="87">
        <v>42</v>
      </c>
      <c r="B232" s="87" t="str">
        <f t="shared" si="3"/>
        <v>170520</v>
      </c>
      <c r="C232" s="94" t="s">
        <v>361</v>
      </c>
      <c r="D232" s="38">
        <v>170520209</v>
      </c>
      <c r="E232" s="38">
        <v>1</v>
      </c>
      <c r="F232" s="38" t="s">
        <v>377</v>
      </c>
      <c r="G232" s="38">
        <v>2</v>
      </c>
      <c r="H232" s="96">
        <v>160</v>
      </c>
      <c r="I232" s="96">
        <v>50.6</v>
      </c>
      <c r="J232" s="38">
        <v>2210</v>
      </c>
      <c r="K232" s="96">
        <v>18.1</v>
      </c>
      <c r="L232" s="96">
        <v>9.7</v>
      </c>
      <c r="M232" s="38">
        <v>176</v>
      </c>
      <c r="N232" s="38"/>
      <c r="O232" s="38">
        <v>47</v>
      </c>
      <c r="P232" s="97"/>
      <c r="Q232" s="97" t="s">
        <v>25</v>
      </c>
    </row>
    <row r="233" s="31" customFormat="1" ht="14.25" customHeight="1" spans="1:17">
      <c r="A233" s="87">
        <v>42</v>
      </c>
      <c r="B233" s="87" t="str">
        <f t="shared" si="3"/>
        <v>170520</v>
      </c>
      <c r="C233" s="94" t="s">
        <v>361</v>
      </c>
      <c r="D233" s="38">
        <v>170520210</v>
      </c>
      <c r="E233" s="38">
        <v>1</v>
      </c>
      <c r="F233" s="38" t="s">
        <v>378</v>
      </c>
      <c r="G233" s="38">
        <v>2</v>
      </c>
      <c r="H233" s="96">
        <v>163</v>
      </c>
      <c r="I233" s="96">
        <v>59</v>
      </c>
      <c r="J233" s="38">
        <v>2778</v>
      </c>
      <c r="K233" s="96">
        <v>13.9</v>
      </c>
      <c r="L233" s="96">
        <v>10.7</v>
      </c>
      <c r="M233" s="38">
        <v>135</v>
      </c>
      <c r="N233" s="38"/>
      <c r="O233" s="38">
        <v>39</v>
      </c>
      <c r="P233" s="97"/>
      <c r="Q233" s="97" t="s">
        <v>98</v>
      </c>
    </row>
    <row r="234" s="31" customFormat="1" ht="14.25" customHeight="1" spans="1:17">
      <c r="A234" s="87">
        <v>42</v>
      </c>
      <c r="B234" s="87" t="str">
        <f t="shared" si="3"/>
        <v>170520</v>
      </c>
      <c r="C234" s="94" t="s">
        <v>361</v>
      </c>
      <c r="D234" s="38">
        <v>170520211</v>
      </c>
      <c r="E234" s="38">
        <v>1</v>
      </c>
      <c r="F234" s="38" t="s">
        <v>379</v>
      </c>
      <c r="G234" s="38">
        <v>2</v>
      </c>
      <c r="H234" s="96">
        <v>165.5</v>
      </c>
      <c r="I234" s="96">
        <v>56.2</v>
      </c>
      <c r="J234" s="38">
        <v>2822</v>
      </c>
      <c r="K234" s="96">
        <v>13.5</v>
      </c>
      <c r="L234" s="96">
        <v>8.5</v>
      </c>
      <c r="M234" s="38">
        <v>185</v>
      </c>
      <c r="N234" s="38"/>
      <c r="O234" s="38">
        <v>41</v>
      </c>
      <c r="P234" s="97"/>
      <c r="Q234" s="97" t="s">
        <v>38</v>
      </c>
    </row>
    <row r="235" s="31" customFormat="1" ht="14.25" customHeight="1" spans="1:17">
      <c r="A235" s="87">
        <v>42</v>
      </c>
      <c r="B235" s="87" t="str">
        <f t="shared" si="3"/>
        <v>170520</v>
      </c>
      <c r="C235" s="94" t="s">
        <v>361</v>
      </c>
      <c r="D235" s="38">
        <v>170520212</v>
      </c>
      <c r="E235" s="38">
        <v>1</v>
      </c>
      <c r="F235" s="38" t="s">
        <v>380</v>
      </c>
      <c r="G235" s="38">
        <v>2</v>
      </c>
      <c r="H235" s="96">
        <v>161.1</v>
      </c>
      <c r="I235" s="96">
        <v>42</v>
      </c>
      <c r="J235" s="38">
        <v>2326</v>
      </c>
      <c r="K235" s="96">
        <v>20.7</v>
      </c>
      <c r="L235" s="96">
        <v>9.1</v>
      </c>
      <c r="M235" s="38">
        <v>170</v>
      </c>
      <c r="N235" s="38"/>
      <c r="O235" s="38">
        <v>40</v>
      </c>
      <c r="P235" s="97"/>
      <c r="Q235" s="97" t="s">
        <v>25</v>
      </c>
    </row>
    <row r="236" s="31" customFormat="1" ht="14.25" customHeight="1" spans="1:17">
      <c r="A236" s="87">
        <v>42</v>
      </c>
      <c r="B236" s="87" t="str">
        <f t="shared" si="3"/>
        <v>170520</v>
      </c>
      <c r="C236" s="94" t="s">
        <v>361</v>
      </c>
      <c r="D236" s="38">
        <v>170520213</v>
      </c>
      <c r="E236" s="38">
        <v>1</v>
      </c>
      <c r="F236" s="38" t="s">
        <v>381</v>
      </c>
      <c r="G236" s="38">
        <v>2</v>
      </c>
      <c r="H236" s="96">
        <v>174.5</v>
      </c>
      <c r="I236" s="96">
        <v>59.9</v>
      </c>
      <c r="J236" s="38">
        <v>3877</v>
      </c>
      <c r="K236" s="96">
        <v>18.1</v>
      </c>
      <c r="L236" s="96">
        <v>9.3</v>
      </c>
      <c r="M236" s="38">
        <v>146</v>
      </c>
      <c r="N236" s="38"/>
      <c r="O236" s="38">
        <v>36</v>
      </c>
      <c r="P236" s="97"/>
      <c r="Q236" s="97" t="s">
        <v>124</v>
      </c>
    </row>
    <row r="237" s="31" customFormat="1" ht="14.25" customHeight="1" spans="1:17">
      <c r="A237" s="87">
        <v>42</v>
      </c>
      <c r="B237" s="87" t="str">
        <f t="shared" si="3"/>
        <v>170520</v>
      </c>
      <c r="C237" s="94" t="s">
        <v>361</v>
      </c>
      <c r="D237" s="38">
        <v>170520214</v>
      </c>
      <c r="E237" s="38">
        <v>1</v>
      </c>
      <c r="F237" s="38" t="s">
        <v>382</v>
      </c>
      <c r="G237" s="38">
        <v>2</v>
      </c>
      <c r="H237" s="96">
        <v>173.2</v>
      </c>
      <c r="I237" s="96">
        <v>59.9</v>
      </c>
      <c r="J237" s="38">
        <v>3789</v>
      </c>
      <c r="K237" s="96">
        <v>18.2</v>
      </c>
      <c r="L237" s="96">
        <v>8.7</v>
      </c>
      <c r="M237" s="38">
        <v>175</v>
      </c>
      <c r="N237" s="38"/>
      <c r="O237" s="38">
        <v>45</v>
      </c>
      <c r="P237" s="97"/>
      <c r="Q237" s="97" t="s">
        <v>302</v>
      </c>
    </row>
    <row r="238" s="31" customFormat="1" ht="14.25" customHeight="1" spans="1:17">
      <c r="A238" s="87">
        <v>42</v>
      </c>
      <c r="B238" s="87" t="str">
        <f t="shared" si="3"/>
        <v>170520</v>
      </c>
      <c r="C238" s="94" t="s">
        <v>361</v>
      </c>
      <c r="D238" s="38">
        <v>170520215</v>
      </c>
      <c r="E238" s="38">
        <v>1</v>
      </c>
      <c r="F238" s="38" t="s">
        <v>383</v>
      </c>
      <c r="G238" s="38">
        <v>2</v>
      </c>
      <c r="H238" s="96">
        <v>168.3</v>
      </c>
      <c r="I238" s="96">
        <v>53.3</v>
      </c>
      <c r="J238" s="38">
        <v>3900</v>
      </c>
      <c r="K238" s="96">
        <v>8.1</v>
      </c>
      <c r="L238" s="96">
        <v>8.9</v>
      </c>
      <c r="M238" s="38">
        <v>175</v>
      </c>
      <c r="N238" s="38"/>
      <c r="O238" s="38">
        <v>30</v>
      </c>
      <c r="P238" s="97"/>
      <c r="Q238" s="97" t="s">
        <v>31</v>
      </c>
    </row>
    <row r="239" s="31" customFormat="1" ht="14.25" customHeight="1" spans="1:17">
      <c r="A239" s="87">
        <v>42</v>
      </c>
      <c r="B239" s="87" t="str">
        <f t="shared" si="3"/>
        <v>170520</v>
      </c>
      <c r="C239" s="94" t="s">
        <v>361</v>
      </c>
      <c r="D239" s="38">
        <v>170520216</v>
      </c>
      <c r="E239" s="38">
        <v>1</v>
      </c>
      <c r="F239" s="38" t="s">
        <v>384</v>
      </c>
      <c r="G239" s="38">
        <v>2</v>
      </c>
      <c r="H239" s="96">
        <v>158.9</v>
      </c>
      <c r="I239" s="96">
        <v>54.6</v>
      </c>
      <c r="J239" s="38">
        <v>2791</v>
      </c>
      <c r="K239" s="96">
        <v>17.5</v>
      </c>
      <c r="L239" s="96">
        <v>8.9</v>
      </c>
      <c r="M239" s="38">
        <v>170</v>
      </c>
      <c r="N239" s="38"/>
      <c r="O239" s="38">
        <v>49</v>
      </c>
      <c r="P239" s="97"/>
      <c r="Q239" s="97" t="s">
        <v>23</v>
      </c>
    </row>
    <row r="240" s="31" customFormat="1" ht="14.25" customHeight="1" spans="1:17">
      <c r="A240" s="87">
        <v>42</v>
      </c>
      <c r="B240" s="87" t="str">
        <f t="shared" si="3"/>
        <v>170520</v>
      </c>
      <c r="C240" s="94" t="s">
        <v>361</v>
      </c>
      <c r="D240" s="38">
        <v>170520217</v>
      </c>
      <c r="E240" s="38">
        <v>1</v>
      </c>
      <c r="F240" s="38" t="s">
        <v>385</v>
      </c>
      <c r="G240" s="38">
        <v>2</v>
      </c>
      <c r="H240" s="96">
        <v>160.2</v>
      </c>
      <c r="I240" s="96">
        <v>51.3</v>
      </c>
      <c r="J240" s="38">
        <v>3151</v>
      </c>
      <c r="K240" s="96">
        <v>19.7</v>
      </c>
      <c r="L240" s="96">
        <v>9.7</v>
      </c>
      <c r="M240" s="38">
        <v>165</v>
      </c>
      <c r="N240" s="38"/>
      <c r="O240" s="38">
        <v>49</v>
      </c>
      <c r="P240" s="97"/>
      <c r="Q240" s="97" t="s">
        <v>27</v>
      </c>
    </row>
    <row r="241" s="31" customFormat="1" ht="14.25" customHeight="1" spans="1:17">
      <c r="A241" s="87">
        <v>42</v>
      </c>
      <c r="B241" s="87" t="str">
        <f t="shared" si="3"/>
        <v>170520</v>
      </c>
      <c r="C241" s="94" t="s">
        <v>361</v>
      </c>
      <c r="D241" s="38">
        <v>170520218</v>
      </c>
      <c r="E241" s="38">
        <v>1</v>
      </c>
      <c r="F241" s="38" t="s">
        <v>386</v>
      </c>
      <c r="G241" s="38">
        <v>2</v>
      </c>
      <c r="H241" s="96">
        <v>159.3</v>
      </c>
      <c r="I241" s="96">
        <v>46.1</v>
      </c>
      <c r="J241" s="38">
        <v>2756</v>
      </c>
      <c r="K241" s="96">
        <v>13.1</v>
      </c>
      <c r="L241" s="96">
        <v>9.8</v>
      </c>
      <c r="M241" s="38">
        <v>165</v>
      </c>
      <c r="N241" s="38"/>
      <c r="O241" s="38">
        <v>35</v>
      </c>
      <c r="P241" s="97"/>
      <c r="Q241" s="97" t="s">
        <v>69</v>
      </c>
    </row>
    <row r="242" s="31" customFormat="1" ht="14.25" customHeight="1" spans="1:17">
      <c r="A242" s="87">
        <v>42</v>
      </c>
      <c r="B242" s="87" t="str">
        <f t="shared" si="3"/>
        <v>170520</v>
      </c>
      <c r="C242" s="94" t="s">
        <v>361</v>
      </c>
      <c r="D242" s="38">
        <v>170520221</v>
      </c>
      <c r="E242" s="38">
        <v>13</v>
      </c>
      <c r="F242" s="38" t="s">
        <v>387</v>
      </c>
      <c r="G242" s="38">
        <v>2</v>
      </c>
      <c r="H242" s="96">
        <v>160.9</v>
      </c>
      <c r="I242" s="96">
        <v>45.4</v>
      </c>
      <c r="J242" s="38">
        <v>2982</v>
      </c>
      <c r="K242" s="96">
        <v>7.9</v>
      </c>
      <c r="L242" s="96">
        <v>10.1</v>
      </c>
      <c r="M242" s="38">
        <v>142</v>
      </c>
      <c r="N242" s="38"/>
      <c r="O242" s="38">
        <v>45</v>
      </c>
      <c r="P242" s="97"/>
      <c r="Q242" s="97" t="s">
        <v>83</v>
      </c>
    </row>
    <row r="243" s="31" customFormat="1" ht="14.25" customHeight="1" spans="1:17">
      <c r="A243" s="87">
        <v>42</v>
      </c>
      <c r="B243" s="87" t="str">
        <f t="shared" si="3"/>
        <v>170520</v>
      </c>
      <c r="C243" s="94" t="s">
        <v>361</v>
      </c>
      <c r="D243" s="38">
        <v>170520222</v>
      </c>
      <c r="E243" s="38">
        <v>1</v>
      </c>
      <c r="F243" s="38" t="s">
        <v>388</v>
      </c>
      <c r="G243" s="38">
        <v>2</v>
      </c>
      <c r="H243" s="96">
        <v>160.5</v>
      </c>
      <c r="I243" s="96">
        <v>53.1</v>
      </c>
      <c r="J243" s="38">
        <v>3273</v>
      </c>
      <c r="K243" s="96">
        <v>17.6</v>
      </c>
      <c r="L243" s="96">
        <v>9.2</v>
      </c>
      <c r="M243" s="38">
        <v>165</v>
      </c>
      <c r="N243" s="38"/>
      <c r="O243" s="38">
        <v>41</v>
      </c>
      <c r="P243" s="97"/>
      <c r="Q243" s="97" t="s">
        <v>137</v>
      </c>
    </row>
    <row r="244" s="31" customFormat="1" ht="14.25" customHeight="1" spans="1:17">
      <c r="A244" s="87">
        <v>42</v>
      </c>
      <c r="B244" s="87" t="str">
        <f t="shared" si="3"/>
        <v>170520</v>
      </c>
      <c r="C244" s="94" t="s">
        <v>361</v>
      </c>
      <c r="D244" s="38">
        <v>170520223</v>
      </c>
      <c r="E244" s="38">
        <v>1</v>
      </c>
      <c r="F244" s="38" t="s">
        <v>389</v>
      </c>
      <c r="G244" s="38">
        <v>2</v>
      </c>
      <c r="H244" s="96">
        <v>169.2</v>
      </c>
      <c r="I244" s="96">
        <v>56.3</v>
      </c>
      <c r="J244" s="38">
        <v>2630</v>
      </c>
      <c r="K244" s="96">
        <v>16.2</v>
      </c>
      <c r="L244" s="96">
        <v>10.1</v>
      </c>
      <c r="M244" s="38">
        <v>160</v>
      </c>
      <c r="N244" s="38"/>
      <c r="O244" s="38">
        <v>37</v>
      </c>
      <c r="P244" s="97"/>
      <c r="Q244" s="97" t="s">
        <v>71</v>
      </c>
    </row>
    <row r="245" s="31" customFormat="1" ht="14.25" customHeight="1" spans="1:17">
      <c r="A245" s="87">
        <v>42</v>
      </c>
      <c r="B245" s="87" t="str">
        <f t="shared" si="3"/>
        <v>170520</v>
      </c>
      <c r="C245" s="94" t="s">
        <v>361</v>
      </c>
      <c r="D245" s="38">
        <v>170520225</v>
      </c>
      <c r="E245" s="38">
        <v>1</v>
      </c>
      <c r="F245" s="38" t="s">
        <v>390</v>
      </c>
      <c r="G245" s="38">
        <v>2</v>
      </c>
      <c r="H245" s="96">
        <v>165.9</v>
      </c>
      <c r="I245" s="96">
        <v>53.4</v>
      </c>
      <c r="J245" s="38">
        <v>3477</v>
      </c>
      <c r="K245" s="96">
        <v>12.3</v>
      </c>
      <c r="L245" s="96">
        <v>9.7</v>
      </c>
      <c r="M245" s="38">
        <v>160</v>
      </c>
      <c r="N245" s="38"/>
      <c r="O245" s="38">
        <v>43</v>
      </c>
      <c r="P245" s="97"/>
      <c r="Q245" s="97" t="s">
        <v>175</v>
      </c>
    </row>
    <row r="246" s="31" customFormat="1" ht="14.25" customHeight="1" spans="1:17">
      <c r="A246" s="87">
        <v>42</v>
      </c>
      <c r="B246" s="87" t="str">
        <f t="shared" si="3"/>
        <v>170520</v>
      </c>
      <c r="C246" s="94" t="s">
        <v>361</v>
      </c>
      <c r="D246" s="38">
        <v>170520226</v>
      </c>
      <c r="E246" s="38">
        <v>1</v>
      </c>
      <c r="F246" s="38" t="s">
        <v>391</v>
      </c>
      <c r="G246" s="38">
        <v>2</v>
      </c>
      <c r="H246" s="96">
        <v>154.3</v>
      </c>
      <c r="I246" s="96">
        <v>50.1</v>
      </c>
      <c r="J246" s="38">
        <v>2613</v>
      </c>
      <c r="K246" s="96">
        <v>14.3</v>
      </c>
      <c r="L246" s="96">
        <v>9.7</v>
      </c>
      <c r="M246" s="38">
        <v>135</v>
      </c>
      <c r="N246" s="38"/>
      <c r="O246" s="38">
        <v>32</v>
      </c>
      <c r="P246" s="97"/>
      <c r="Q246" s="97" t="s">
        <v>33</v>
      </c>
    </row>
    <row r="247" s="31" customFormat="1" ht="14.25" customHeight="1" spans="1:17">
      <c r="A247" s="87">
        <v>42</v>
      </c>
      <c r="B247" s="87" t="str">
        <f t="shared" si="3"/>
        <v>170520</v>
      </c>
      <c r="C247" s="94" t="s">
        <v>361</v>
      </c>
      <c r="D247" s="38">
        <v>170520227</v>
      </c>
      <c r="E247" s="38">
        <v>1</v>
      </c>
      <c r="F247" s="38" t="s">
        <v>392</v>
      </c>
      <c r="G247" s="38">
        <v>2</v>
      </c>
      <c r="H247" s="96">
        <v>163.4</v>
      </c>
      <c r="I247" s="96">
        <v>51.2</v>
      </c>
      <c r="J247" s="38">
        <v>2689</v>
      </c>
      <c r="K247" s="96">
        <v>20.1</v>
      </c>
      <c r="L247" s="96">
        <v>8</v>
      </c>
      <c r="M247" s="38">
        <v>143</v>
      </c>
      <c r="N247" s="38"/>
      <c r="O247" s="38">
        <v>43</v>
      </c>
      <c r="P247" s="97"/>
      <c r="Q247" s="97" t="s">
        <v>98</v>
      </c>
    </row>
    <row r="248" s="31" customFormat="1" ht="14.25" customHeight="1" spans="1:17">
      <c r="A248" s="87">
        <v>42</v>
      </c>
      <c r="B248" s="87" t="str">
        <f t="shared" si="3"/>
        <v>170520</v>
      </c>
      <c r="C248" s="94" t="s">
        <v>361</v>
      </c>
      <c r="D248" s="38">
        <v>170520228</v>
      </c>
      <c r="E248" s="38">
        <v>1</v>
      </c>
      <c r="F248" s="38" t="s">
        <v>393</v>
      </c>
      <c r="G248" s="38">
        <v>2</v>
      </c>
      <c r="H248" s="96">
        <v>164.8</v>
      </c>
      <c r="I248" s="96">
        <v>85.2</v>
      </c>
      <c r="J248" s="38">
        <v>3431</v>
      </c>
      <c r="K248" s="96">
        <v>13.8</v>
      </c>
      <c r="L248" s="96">
        <v>10.7</v>
      </c>
      <c r="M248" s="38">
        <v>145</v>
      </c>
      <c r="N248" s="38"/>
      <c r="O248" s="38">
        <v>31</v>
      </c>
      <c r="P248" s="97"/>
      <c r="Q248" s="97" t="s">
        <v>69</v>
      </c>
    </row>
    <row r="249" s="31" customFormat="1" ht="14.25" customHeight="1" spans="1:17">
      <c r="A249" s="87">
        <v>42</v>
      </c>
      <c r="B249" s="87" t="str">
        <f t="shared" si="3"/>
        <v>170520</v>
      </c>
      <c r="C249" s="94" t="s">
        <v>361</v>
      </c>
      <c r="D249" s="38">
        <v>170520229</v>
      </c>
      <c r="E249" s="38">
        <v>1</v>
      </c>
      <c r="F249" s="38" t="s">
        <v>394</v>
      </c>
      <c r="G249" s="38">
        <v>2</v>
      </c>
      <c r="H249" s="96">
        <v>166.5</v>
      </c>
      <c r="I249" s="96">
        <v>56.7</v>
      </c>
      <c r="J249" s="38">
        <v>2628</v>
      </c>
      <c r="K249" s="96">
        <v>21.6</v>
      </c>
      <c r="L249" s="96">
        <v>10.1</v>
      </c>
      <c r="M249" s="38">
        <v>158</v>
      </c>
      <c r="N249" s="38"/>
      <c r="O249" s="38">
        <v>38</v>
      </c>
      <c r="P249" s="97"/>
      <c r="Q249" s="97" t="s">
        <v>29</v>
      </c>
    </row>
    <row r="250" s="31" customFormat="1" ht="14.25" customHeight="1" spans="1:17">
      <c r="A250" s="87">
        <v>42</v>
      </c>
      <c r="B250" s="87" t="str">
        <f t="shared" si="3"/>
        <v>170520</v>
      </c>
      <c r="C250" s="94" t="s">
        <v>361</v>
      </c>
      <c r="D250" s="38">
        <v>170520230</v>
      </c>
      <c r="E250" s="38">
        <v>1</v>
      </c>
      <c r="F250" s="38" t="s">
        <v>395</v>
      </c>
      <c r="G250" s="38">
        <v>2</v>
      </c>
      <c r="H250" s="96">
        <v>156.5</v>
      </c>
      <c r="I250" s="96">
        <v>40.7</v>
      </c>
      <c r="J250" s="38">
        <v>2551</v>
      </c>
      <c r="K250" s="96">
        <v>20.2</v>
      </c>
      <c r="L250" s="96">
        <v>9.7</v>
      </c>
      <c r="M250" s="38">
        <v>150</v>
      </c>
      <c r="N250" s="38"/>
      <c r="O250" s="38">
        <v>35</v>
      </c>
      <c r="P250" s="97"/>
      <c r="Q250" s="97" t="s">
        <v>92</v>
      </c>
    </row>
    <row r="251" s="31" customFormat="1" ht="14.25" customHeight="1" spans="1:17">
      <c r="A251" s="87">
        <v>42</v>
      </c>
      <c r="B251" s="87" t="str">
        <f t="shared" si="3"/>
        <v>170520</v>
      </c>
      <c r="C251" s="94" t="s">
        <v>361</v>
      </c>
      <c r="D251" s="38">
        <v>170520231</v>
      </c>
      <c r="E251" s="38">
        <v>1</v>
      </c>
      <c r="F251" s="38" t="s">
        <v>396</v>
      </c>
      <c r="G251" s="38">
        <v>2</v>
      </c>
      <c r="H251" s="96">
        <v>159.6</v>
      </c>
      <c r="I251" s="96">
        <v>57.8</v>
      </c>
      <c r="J251" s="38">
        <v>3133</v>
      </c>
      <c r="K251" s="96">
        <v>21.2</v>
      </c>
      <c r="L251" s="96">
        <v>9</v>
      </c>
      <c r="M251" s="38">
        <v>193</v>
      </c>
      <c r="N251" s="38"/>
      <c r="O251" s="38">
        <v>46</v>
      </c>
      <c r="P251" s="97"/>
      <c r="Q251" s="97" t="s">
        <v>27</v>
      </c>
    </row>
    <row r="252" s="31" customFormat="1" ht="14.25" customHeight="1" spans="1:17">
      <c r="A252" s="87">
        <v>42</v>
      </c>
      <c r="B252" s="87" t="str">
        <f t="shared" si="3"/>
        <v>170520</v>
      </c>
      <c r="C252" s="94" t="s">
        <v>361</v>
      </c>
      <c r="D252" s="38">
        <v>170520232</v>
      </c>
      <c r="E252" s="38">
        <v>1</v>
      </c>
      <c r="F252" s="38" t="s">
        <v>397</v>
      </c>
      <c r="G252" s="38">
        <v>2</v>
      </c>
      <c r="H252" s="96">
        <v>167.2</v>
      </c>
      <c r="I252" s="96">
        <v>52.3</v>
      </c>
      <c r="J252" s="38">
        <v>2768</v>
      </c>
      <c r="K252" s="96">
        <v>9.8</v>
      </c>
      <c r="L252" s="96">
        <v>9.2</v>
      </c>
      <c r="M252" s="38">
        <v>150</v>
      </c>
      <c r="N252" s="38"/>
      <c r="O252" s="38">
        <v>36</v>
      </c>
      <c r="P252" s="97"/>
      <c r="Q252" s="97" t="s">
        <v>137</v>
      </c>
    </row>
    <row r="253" s="31" customFormat="1" ht="14.25" customHeight="1" spans="1:17">
      <c r="A253" s="87">
        <v>42</v>
      </c>
      <c r="B253" s="87" t="str">
        <f t="shared" si="3"/>
        <v>170520</v>
      </c>
      <c r="C253" s="94" t="s">
        <v>361</v>
      </c>
      <c r="D253" s="38">
        <v>170520233</v>
      </c>
      <c r="E253" s="38">
        <v>1</v>
      </c>
      <c r="F253" s="38" t="s">
        <v>398</v>
      </c>
      <c r="G253" s="38">
        <v>2</v>
      </c>
      <c r="H253" s="96">
        <v>162.4</v>
      </c>
      <c r="I253" s="96">
        <v>54.1</v>
      </c>
      <c r="J253" s="38">
        <v>3313</v>
      </c>
      <c r="K253" s="96">
        <v>10.1</v>
      </c>
      <c r="L253" s="96">
        <v>9</v>
      </c>
      <c r="M253" s="38">
        <v>176</v>
      </c>
      <c r="N253" s="38"/>
      <c r="O253" s="38">
        <v>46</v>
      </c>
      <c r="P253" s="97"/>
      <c r="Q253" s="97" t="s">
        <v>230</v>
      </c>
    </row>
    <row r="254" s="31" customFormat="1" ht="14.25" customHeight="1" spans="1:17">
      <c r="A254" s="87">
        <v>42</v>
      </c>
      <c r="B254" s="87" t="str">
        <f t="shared" si="3"/>
        <v>170520</v>
      </c>
      <c r="C254" s="94" t="s">
        <v>361</v>
      </c>
      <c r="D254" s="38">
        <v>170520234</v>
      </c>
      <c r="E254" s="38">
        <v>1</v>
      </c>
      <c r="F254" s="38" t="s">
        <v>399</v>
      </c>
      <c r="G254" s="38">
        <v>2</v>
      </c>
      <c r="H254" s="96">
        <v>164.9</v>
      </c>
      <c r="I254" s="96">
        <v>47.9</v>
      </c>
      <c r="J254" s="38">
        <v>3260</v>
      </c>
      <c r="K254" s="96">
        <v>15.1</v>
      </c>
      <c r="L254" s="96">
        <v>8.4</v>
      </c>
      <c r="M254" s="38">
        <v>130</v>
      </c>
      <c r="N254" s="38"/>
      <c r="O254" s="38">
        <v>43</v>
      </c>
      <c r="P254" s="97"/>
      <c r="Q254" s="97" t="s">
        <v>137</v>
      </c>
    </row>
    <row r="255" s="31" customFormat="1" ht="14.25" customHeight="1" spans="1:17">
      <c r="A255" s="87">
        <v>42</v>
      </c>
      <c r="B255" s="87" t="str">
        <f t="shared" si="3"/>
        <v>170520</v>
      </c>
      <c r="C255" s="94" t="s">
        <v>361</v>
      </c>
      <c r="D255" s="38">
        <v>170520235</v>
      </c>
      <c r="E255" s="38">
        <v>1</v>
      </c>
      <c r="F255" s="38" t="s">
        <v>400</v>
      </c>
      <c r="G255" s="38">
        <v>2</v>
      </c>
      <c r="H255" s="96">
        <v>167.5</v>
      </c>
      <c r="I255" s="96">
        <v>56.2</v>
      </c>
      <c r="J255" s="38">
        <v>3048</v>
      </c>
      <c r="K255" s="96">
        <v>22.7</v>
      </c>
      <c r="L255" s="96">
        <v>10.1</v>
      </c>
      <c r="M255" s="38">
        <v>142</v>
      </c>
      <c r="N255" s="38"/>
      <c r="O255" s="38">
        <v>45</v>
      </c>
      <c r="P255" s="97"/>
      <c r="Q255" s="97" t="s">
        <v>200</v>
      </c>
    </row>
    <row r="256" s="31" customFormat="1" ht="14.25" customHeight="1" spans="1:17">
      <c r="A256" s="87">
        <v>42</v>
      </c>
      <c r="B256" s="87" t="str">
        <f t="shared" si="3"/>
        <v>170520</v>
      </c>
      <c r="C256" s="94" t="s">
        <v>361</v>
      </c>
      <c r="D256" s="38">
        <v>170520236</v>
      </c>
      <c r="E256" s="38">
        <v>1</v>
      </c>
      <c r="F256" s="38" t="s">
        <v>401</v>
      </c>
      <c r="G256" s="38">
        <v>2</v>
      </c>
      <c r="H256" s="96">
        <v>168.2</v>
      </c>
      <c r="I256" s="96">
        <v>52.5</v>
      </c>
      <c r="J256" s="38">
        <v>2809</v>
      </c>
      <c r="K256" s="96">
        <v>19.4</v>
      </c>
      <c r="L256" s="96">
        <v>8.7</v>
      </c>
      <c r="M256" s="38">
        <v>195</v>
      </c>
      <c r="N256" s="38"/>
      <c r="O256" s="38">
        <v>49</v>
      </c>
      <c r="P256" s="97"/>
      <c r="Q256" s="97" t="s">
        <v>83</v>
      </c>
    </row>
    <row r="257" s="31" customFormat="1" ht="14.25" customHeight="1" spans="1:17">
      <c r="A257" s="87">
        <v>42</v>
      </c>
      <c r="B257" s="87" t="str">
        <f t="shared" si="3"/>
        <v>170520</v>
      </c>
      <c r="C257" s="94" t="s">
        <v>361</v>
      </c>
      <c r="D257" s="38">
        <v>170520237</v>
      </c>
      <c r="E257" s="38">
        <v>1</v>
      </c>
      <c r="F257" s="38" t="s">
        <v>402</v>
      </c>
      <c r="G257" s="38">
        <v>2</v>
      </c>
      <c r="H257" s="96">
        <v>157.1</v>
      </c>
      <c r="I257" s="96">
        <v>46.2</v>
      </c>
      <c r="J257" s="38">
        <v>3104</v>
      </c>
      <c r="K257" s="96">
        <v>18.1</v>
      </c>
      <c r="L257" s="96">
        <v>8.7</v>
      </c>
      <c r="M257" s="38">
        <v>158</v>
      </c>
      <c r="N257" s="38"/>
      <c r="O257" s="38">
        <v>53</v>
      </c>
      <c r="P257" s="97"/>
      <c r="Q257" s="97" t="s">
        <v>38</v>
      </c>
    </row>
    <row r="258" s="31" customFormat="1" ht="14.25" customHeight="1" spans="1:17">
      <c r="A258" s="87">
        <v>42</v>
      </c>
      <c r="B258" s="87" t="str">
        <f t="shared" si="3"/>
        <v>170520</v>
      </c>
      <c r="C258" s="94" t="s">
        <v>361</v>
      </c>
      <c r="D258" s="38">
        <v>170520238</v>
      </c>
      <c r="E258" s="38">
        <v>1</v>
      </c>
      <c r="F258" s="38" t="s">
        <v>403</v>
      </c>
      <c r="G258" s="38">
        <v>2</v>
      </c>
      <c r="H258" s="96">
        <v>176.2</v>
      </c>
      <c r="I258" s="96">
        <v>63.2</v>
      </c>
      <c r="J258" s="38">
        <v>2635</v>
      </c>
      <c r="K258" s="96">
        <v>3.3</v>
      </c>
      <c r="L258" s="96">
        <v>8.3</v>
      </c>
      <c r="M258" s="38">
        <v>160</v>
      </c>
      <c r="N258" s="38"/>
      <c r="O258" s="38">
        <v>50</v>
      </c>
      <c r="P258" s="97"/>
      <c r="Q258" s="97" t="s">
        <v>38</v>
      </c>
    </row>
    <row r="259" s="31" customFormat="1" ht="14.25" customHeight="1" spans="1:17">
      <c r="A259" s="87">
        <v>42</v>
      </c>
      <c r="B259" s="87" t="str">
        <f t="shared" ref="B259:B322" si="4">LEFT(D259,6)</f>
        <v>170520</v>
      </c>
      <c r="C259" s="94" t="s">
        <v>361</v>
      </c>
      <c r="D259" s="38">
        <v>170520239</v>
      </c>
      <c r="E259" s="38">
        <v>1</v>
      </c>
      <c r="F259" s="38" t="s">
        <v>404</v>
      </c>
      <c r="G259" s="38">
        <v>2</v>
      </c>
      <c r="H259" s="96">
        <v>157.5</v>
      </c>
      <c r="I259" s="96">
        <v>76.5</v>
      </c>
      <c r="J259" s="38">
        <v>2416</v>
      </c>
      <c r="K259" s="96">
        <v>16.4</v>
      </c>
      <c r="L259" s="96">
        <v>10.3</v>
      </c>
      <c r="M259" s="38">
        <v>141</v>
      </c>
      <c r="N259" s="38"/>
      <c r="O259" s="38">
        <v>42</v>
      </c>
      <c r="P259" s="97"/>
      <c r="Q259" s="97" t="s">
        <v>225</v>
      </c>
    </row>
    <row r="260" s="31" customFormat="1" ht="14.25" customHeight="1" spans="1:17">
      <c r="A260" s="87">
        <v>42</v>
      </c>
      <c r="B260" s="87" t="str">
        <f t="shared" si="4"/>
        <v>170520</v>
      </c>
      <c r="C260" s="94" t="s">
        <v>361</v>
      </c>
      <c r="D260" s="38">
        <v>170520240</v>
      </c>
      <c r="E260" s="38">
        <v>1</v>
      </c>
      <c r="F260" s="38" t="s">
        <v>405</v>
      </c>
      <c r="G260" s="38">
        <v>2</v>
      </c>
      <c r="H260" s="96">
        <v>176.5</v>
      </c>
      <c r="I260" s="96">
        <v>78.5</v>
      </c>
      <c r="J260" s="38">
        <v>3113</v>
      </c>
      <c r="K260" s="96">
        <v>15</v>
      </c>
      <c r="L260" s="96">
        <v>10.1</v>
      </c>
      <c r="M260" s="38">
        <v>130</v>
      </c>
      <c r="N260" s="38"/>
      <c r="O260" s="38">
        <v>38</v>
      </c>
      <c r="P260" s="97"/>
      <c r="Q260" s="97" t="s">
        <v>71</v>
      </c>
    </row>
    <row r="261" s="31" customFormat="1" ht="14.25" customHeight="1" spans="1:17">
      <c r="A261" s="87">
        <v>42</v>
      </c>
      <c r="B261" s="87" t="str">
        <f t="shared" si="4"/>
        <v>170520</v>
      </c>
      <c r="C261" s="94" t="s">
        <v>361</v>
      </c>
      <c r="D261" s="38">
        <v>170520241</v>
      </c>
      <c r="E261" s="38">
        <v>1</v>
      </c>
      <c r="F261" s="38" t="s">
        <v>406</v>
      </c>
      <c r="G261" s="38">
        <v>2</v>
      </c>
      <c r="H261" s="96">
        <v>160.5</v>
      </c>
      <c r="I261" s="96">
        <v>44.4</v>
      </c>
      <c r="J261" s="38">
        <v>2529</v>
      </c>
      <c r="K261" s="96">
        <v>4.9</v>
      </c>
      <c r="L261" s="96">
        <v>9.4</v>
      </c>
      <c r="M261" s="38">
        <v>150</v>
      </c>
      <c r="N261" s="38"/>
      <c r="O261" s="38">
        <v>50</v>
      </c>
      <c r="P261" s="97"/>
      <c r="Q261" s="97" t="s">
        <v>38</v>
      </c>
    </row>
    <row r="262" s="31" customFormat="1" ht="14.25" customHeight="1" spans="1:17">
      <c r="A262" s="87">
        <v>42</v>
      </c>
      <c r="B262" s="87" t="str">
        <f t="shared" si="4"/>
        <v>170520</v>
      </c>
      <c r="C262" s="94" t="s">
        <v>361</v>
      </c>
      <c r="D262" s="38">
        <v>170520244</v>
      </c>
      <c r="E262" s="38">
        <v>1</v>
      </c>
      <c r="F262" s="38" t="s">
        <v>407</v>
      </c>
      <c r="G262" s="38">
        <v>2</v>
      </c>
      <c r="H262" s="96">
        <v>170.5</v>
      </c>
      <c r="I262" s="96">
        <v>65.5</v>
      </c>
      <c r="J262" s="38">
        <v>3642</v>
      </c>
      <c r="K262" s="96">
        <v>22.2</v>
      </c>
      <c r="L262" s="96">
        <v>9.4</v>
      </c>
      <c r="M262" s="38">
        <v>160</v>
      </c>
      <c r="N262" s="38"/>
      <c r="O262" s="38">
        <v>35</v>
      </c>
      <c r="P262" s="97"/>
      <c r="Q262" s="97" t="s">
        <v>110</v>
      </c>
    </row>
    <row r="263" s="31" customFormat="1" ht="14.25" customHeight="1" spans="1:17">
      <c r="A263" s="87">
        <v>42</v>
      </c>
      <c r="B263" s="87" t="str">
        <f t="shared" si="4"/>
        <v>170520</v>
      </c>
      <c r="C263" s="94" t="s">
        <v>361</v>
      </c>
      <c r="D263" s="38">
        <v>170520246</v>
      </c>
      <c r="E263" s="38">
        <v>1</v>
      </c>
      <c r="F263" s="38" t="s">
        <v>408</v>
      </c>
      <c r="G263" s="38">
        <v>2</v>
      </c>
      <c r="H263" s="96">
        <v>165.5</v>
      </c>
      <c r="I263" s="96">
        <v>70.2</v>
      </c>
      <c r="J263" s="38">
        <v>3959</v>
      </c>
      <c r="K263" s="96">
        <v>14.8</v>
      </c>
      <c r="L263" s="96">
        <v>8.4</v>
      </c>
      <c r="M263" s="38">
        <v>150</v>
      </c>
      <c r="N263" s="38"/>
      <c r="O263" s="38">
        <v>41</v>
      </c>
      <c r="P263" s="97"/>
      <c r="Q263" s="97" t="s">
        <v>31</v>
      </c>
    </row>
    <row r="264" s="31" customFormat="1" ht="14.25" customHeight="1" spans="1:17">
      <c r="A264" s="87">
        <v>42</v>
      </c>
      <c r="B264" s="87" t="str">
        <f t="shared" si="4"/>
        <v>170520</v>
      </c>
      <c r="C264" s="94" t="s">
        <v>361</v>
      </c>
      <c r="D264" s="38">
        <v>170520247</v>
      </c>
      <c r="E264" s="38">
        <v>1</v>
      </c>
      <c r="F264" s="38" t="s">
        <v>409</v>
      </c>
      <c r="G264" s="38">
        <v>2</v>
      </c>
      <c r="H264" s="96">
        <v>164.7</v>
      </c>
      <c r="I264" s="96">
        <v>46.2</v>
      </c>
      <c r="J264" s="38">
        <v>2464</v>
      </c>
      <c r="K264" s="96">
        <v>20.2</v>
      </c>
      <c r="L264" s="96">
        <v>7.9</v>
      </c>
      <c r="M264" s="38">
        <v>180</v>
      </c>
      <c r="N264" s="38"/>
      <c r="O264" s="38">
        <v>49</v>
      </c>
      <c r="P264" s="97"/>
      <c r="Q264" s="97" t="s">
        <v>21</v>
      </c>
    </row>
    <row r="265" s="31" customFormat="1" ht="14.25" customHeight="1" spans="1:17">
      <c r="A265" s="87">
        <v>42</v>
      </c>
      <c r="B265" s="87" t="str">
        <f t="shared" si="4"/>
        <v>170520</v>
      </c>
      <c r="C265" s="94" t="s">
        <v>361</v>
      </c>
      <c r="D265" s="38">
        <v>170520248</v>
      </c>
      <c r="E265" s="38">
        <v>1</v>
      </c>
      <c r="F265" s="38" t="s">
        <v>410</v>
      </c>
      <c r="G265" s="38">
        <v>2</v>
      </c>
      <c r="H265" s="96">
        <v>170.9</v>
      </c>
      <c r="I265" s="96">
        <v>58.2</v>
      </c>
      <c r="J265" s="38">
        <v>3202</v>
      </c>
      <c r="K265" s="96">
        <v>15.2</v>
      </c>
      <c r="L265" s="96">
        <v>8.9</v>
      </c>
      <c r="M265" s="38">
        <v>180</v>
      </c>
      <c r="N265" s="38"/>
      <c r="O265" s="38">
        <v>50</v>
      </c>
      <c r="P265" s="97"/>
      <c r="Q265" s="97" t="s">
        <v>411</v>
      </c>
    </row>
    <row r="266" s="31" customFormat="1" ht="14.25" customHeight="1" spans="1:17">
      <c r="A266" s="87">
        <v>42</v>
      </c>
      <c r="B266" s="87" t="str">
        <f t="shared" si="4"/>
        <v>170520</v>
      </c>
      <c r="C266" s="94" t="s">
        <v>361</v>
      </c>
      <c r="D266" s="38">
        <v>170520249</v>
      </c>
      <c r="E266" s="38">
        <v>1</v>
      </c>
      <c r="F266" s="38" t="s">
        <v>412</v>
      </c>
      <c r="G266" s="38">
        <v>2</v>
      </c>
      <c r="H266" s="96">
        <v>162.3</v>
      </c>
      <c r="I266" s="96">
        <v>61.9</v>
      </c>
      <c r="J266" s="38">
        <v>1170</v>
      </c>
      <c r="K266" s="96">
        <v>18.2</v>
      </c>
      <c r="L266" s="96">
        <v>9.8</v>
      </c>
      <c r="M266" s="38">
        <v>176</v>
      </c>
      <c r="N266" s="38"/>
      <c r="O266" s="38">
        <v>34</v>
      </c>
      <c r="P266" s="97"/>
      <c r="Q266" s="97" t="s">
        <v>40</v>
      </c>
    </row>
    <row r="267" s="31" customFormat="1" ht="14.25" customHeight="1" spans="1:17">
      <c r="A267" s="87">
        <v>42</v>
      </c>
      <c r="B267" s="87" t="str">
        <f t="shared" si="4"/>
        <v>170520</v>
      </c>
      <c r="C267" s="94" t="s">
        <v>361</v>
      </c>
      <c r="D267" s="38">
        <v>170520250</v>
      </c>
      <c r="E267" s="38">
        <v>1</v>
      </c>
      <c r="F267" s="38" t="s">
        <v>413</v>
      </c>
      <c r="G267" s="38">
        <v>2</v>
      </c>
      <c r="H267" s="96">
        <v>157.2</v>
      </c>
      <c r="I267" s="96">
        <v>40.9</v>
      </c>
      <c r="J267" s="38">
        <v>2358</v>
      </c>
      <c r="K267" s="96">
        <v>15.1</v>
      </c>
      <c r="L267" s="96">
        <v>9.8</v>
      </c>
      <c r="M267" s="38">
        <v>166</v>
      </c>
      <c r="N267" s="38"/>
      <c r="O267" s="38">
        <v>40</v>
      </c>
      <c r="P267" s="97"/>
      <c r="Q267" s="97" t="s">
        <v>25</v>
      </c>
    </row>
    <row r="268" s="31" customFormat="1" ht="14.25" customHeight="1" spans="1:17">
      <c r="A268" s="87">
        <v>42</v>
      </c>
      <c r="B268" s="87" t="str">
        <f t="shared" si="4"/>
        <v>170520</v>
      </c>
      <c r="C268" s="94" t="s">
        <v>361</v>
      </c>
      <c r="D268" s="38">
        <v>170520251</v>
      </c>
      <c r="E268" s="38">
        <v>1</v>
      </c>
      <c r="F268" s="38" t="s">
        <v>414</v>
      </c>
      <c r="G268" s="38">
        <v>1</v>
      </c>
      <c r="H268" s="96">
        <v>192</v>
      </c>
      <c r="I268" s="96">
        <v>120.1</v>
      </c>
      <c r="J268" s="38">
        <v>5518</v>
      </c>
      <c r="K268" s="96">
        <v>20.9</v>
      </c>
      <c r="L268" s="96">
        <v>12</v>
      </c>
      <c r="M268" s="38">
        <v>180</v>
      </c>
      <c r="N268" s="38"/>
      <c r="O268" s="38"/>
      <c r="P268" s="97" t="s">
        <v>415</v>
      </c>
      <c r="Q268" s="97"/>
    </row>
    <row r="269" s="31" customFormat="1" ht="14.25" customHeight="1" spans="1:17">
      <c r="A269" s="87">
        <v>42</v>
      </c>
      <c r="B269" s="87" t="str">
        <f t="shared" si="4"/>
        <v>170520</v>
      </c>
      <c r="C269" s="94" t="s">
        <v>361</v>
      </c>
      <c r="D269" s="38">
        <v>170520254</v>
      </c>
      <c r="E269" s="38">
        <v>1</v>
      </c>
      <c r="F269" s="38" t="s">
        <v>416</v>
      </c>
      <c r="G269" s="38">
        <v>1</v>
      </c>
      <c r="H269" s="96">
        <v>172.2</v>
      </c>
      <c r="I269" s="96">
        <v>47.7</v>
      </c>
      <c r="J269" s="38">
        <v>3661</v>
      </c>
      <c r="K269" s="96">
        <v>15.3</v>
      </c>
      <c r="L269" s="96">
        <v>7.1</v>
      </c>
      <c r="M269" s="38">
        <v>250</v>
      </c>
      <c r="N269" s="38">
        <v>9</v>
      </c>
      <c r="O269" s="38"/>
      <c r="P269" s="97" t="s">
        <v>57</v>
      </c>
      <c r="Q269" s="97"/>
    </row>
    <row r="270" s="31" customFormat="1" ht="14.25" customHeight="1" spans="1:17">
      <c r="A270" s="87">
        <v>42</v>
      </c>
      <c r="B270" s="87" t="str">
        <f t="shared" si="4"/>
        <v>170520</v>
      </c>
      <c r="C270" s="94" t="s">
        <v>361</v>
      </c>
      <c r="D270" s="38">
        <v>170520255</v>
      </c>
      <c r="E270" s="38">
        <v>1</v>
      </c>
      <c r="F270" s="38" t="s">
        <v>417</v>
      </c>
      <c r="G270" s="38">
        <v>1</v>
      </c>
      <c r="H270" s="96">
        <v>190</v>
      </c>
      <c r="I270" s="96">
        <v>60.8</v>
      </c>
      <c r="J270" s="38">
        <v>3715</v>
      </c>
      <c r="K270" s="96">
        <v>8.5</v>
      </c>
      <c r="L270" s="96">
        <v>7.2</v>
      </c>
      <c r="M270" s="38">
        <v>245</v>
      </c>
      <c r="N270" s="38">
        <v>10</v>
      </c>
      <c r="O270" s="38"/>
      <c r="P270" s="97" t="s">
        <v>137</v>
      </c>
      <c r="Q270" s="97"/>
    </row>
    <row r="271" s="31" customFormat="1" ht="14.25" customHeight="1" spans="1:17">
      <c r="A271" s="87">
        <v>42</v>
      </c>
      <c r="B271" s="87" t="str">
        <f t="shared" si="4"/>
        <v>170520</v>
      </c>
      <c r="C271" s="94" t="s">
        <v>361</v>
      </c>
      <c r="D271" s="38">
        <v>170520256</v>
      </c>
      <c r="E271" s="38">
        <v>1</v>
      </c>
      <c r="F271" s="38" t="s">
        <v>418</v>
      </c>
      <c r="G271" s="38">
        <v>1</v>
      </c>
      <c r="H271" s="96">
        <v>171.3</v>
      </c>
      <c r="I271" s="96">
        <v>59.3</v>
      </c>
      <c r="J271" s="38">
        <v>4253</v>
      </c>
      <c r="K271" s="96">
        <v>2.8</v>
      </c>
      <c r="L271" s="96">
        <v>7.6</v>
      </c>
      <c r="M271" s="38">
        <v>200</v>
      </c>
      <c r="N271" s="38">
        <v>2</v>
      </c>
      <c r="O271" s="38"/>
      <c r="P271" s="97" t="s">
        <v>419</v>
      </c>
      <c r="Q271" s="97"/>
    </row>
    <row r="272" s="31" customFormat="1" ht="14.25" customHeight="1" spans="1:17">
      <c r="A272" s="87">
        <v>42</v>
      </c>
      <c r="B272" s="87" t="str">
        <f t="shared" si="4"/>
        <v>170520</v>
      </c>
      <c r="C272" s="94" t="s">
        <v>361</v>
      </c>
      <c r="D272" s="38">
        <v>170520257</v>
      </c>
      <c r="E272" s="38">
        <v>1</v>
      </c>
      <c r="F272" s="38" t="s">
        <v>420</v>
      </c>
      <c r="G272" s="38">
        <v>1</v>
      </c>
      <c r="H272" s="96">
        <v>176.3</v>
      </c>
      <c r="I272" s="96">
        <v>64.3</v>
      </c>
      <c r="J272" s="38">
        <v>3907</v>
      </c>
      <c r="K272" s="96">
        <v>4.2</v>
      </c>
      <c r="L272" s="96">
        <v>7.6</v>
      </c>
      <c r="M272" s="38">
        <v>215</v>
      </c>
      <c r="N272" s="38">
        <v>3</v>
      </c>
      <c r="O272" s="38"/>
      <c r="P272" s="97" t="s">
        <v>57</v>
      </c>
      <c r="Q272" s="97"/>
    </row>
    <row r="273" s="31" customFormat="1" ht="14.25" customHeight="1" spans="1:17">
      <c r="A273" s="87">
        <v>42</v>
      </c>
      <c r="B273" s="87" t="str">
        <f t="shared" si="4"/>
        <v>170520</v>
      </c>
      <c r="C273" s="94" t="s">
        <v>361</v>
      </c>
      <c r="D273" s="38">
        <v>170520258</v>
      </c>
      <c r="E273" s="38">
        <v>1</v>
      </c>
      <c r="F273" s="38" t="s">
        <v>421</v>
      </c>
      <c r="G273" s="38">
        <v>1</v>
      </c>
      <c r="H273" s="96">
        <v>176.1</v>
      </c>
      <c r="I273" s="96">
        <v>59.9</v>
      </c>
      <c r="J273" s="38">
        <v>3877</v>
      </c>
      <c r="K273" s="96">
        <v>8.8</v>
      </c>
      <c r="L273" s="96">
        <v>7.8</v>
      </c>
      <c r="M273" s="38">
        <v>210</v>
      </c>
      <c r="N273" s="38">
        <v>0</v>
      </c>
      <c r="O273" s="38"/>
      <c r="P273" s="97" t="s">
        <v>71</v>
      </c>
      <c r="Q273" s="97"/>
    </row>
    <row r="274" s="31" customFormat="1" ht="14.25" customHeight="1" spans="1:17">
      <c r="A274" s="87">
        <v>42</v>
      </c>
      <c r="B274" s="87" t="str">
        <f t="shared" si="4"/>
        <v>170520</v>
      </c>
      <c r="C274" s="94" t="s">
        <v>361</v>
      </c>
      <c r="D274" s="38">
        <v>170520259</v>
      </c>
      <c r="E274" s="38">
        <v>1</v>
      </c>
      <c r="F274" s="38" t="s">
        <v>422</v>
      </c>
      <c r="G274" s="38">
        <v>1</v>
      </c>
      <c r="H274" s="96">
        <v>176.1</v>
      </c>
      <c r="I274" s="96">
        <v>65.1</v>
      </c>
      <c r="J274" s="38">
        <v>4610</v>
      </c>
      <c r="K274" s="96">
        <v>12.2</v>
      </c>
      <c r="L274" s="96">
        <v>7.4</v>
      </c>
      <c r="M274" s="38">
        <v>180</v>
      </c>
      <c r="N274" s="38">
        <v>7</v>
      </c>
      <c r="O274" s="38"/>
      <c r="P274" s="97" t="s">
        <v>69</v>
      </c>
      <c r="Q274" s="97"/>
    </row>
    <row r="275" s="31" customFormat="1" ht="14.25" customHeight="1" spans="1:17">
      <c r="A275" s="87">
        <v>42</v>
      </c>
      <c r="B275" s="87" t="str">
        <f t="shared" si="4"/>
        <v>170520</v>
      </c>
      <c r="C275" s="94" t="s">
        <v>361</v>
      </c>
      <c r="D275" s="38">
        <v>170520260</v>
      </c>
      <c r="E275" s="38">
        <v>1</v>
      </c>
      <c r="F275" s="38" t="s">
        <v>423</v>
      </c>
      <c r="G275" s="38">
        <v>1</v>
      </c>
      <c r="H275" s="96">
        <v>176.1</v>
      </c>
      <c r="I275" s="96">
        <v>58.9</v>
      </c>
      <c r="J275" s="38">
        <v>3794</v>
      </c>
      <c r="K275" s="96">
        <v>16</v>
      </c>
      <c r="L275" s="96">
        <v>7.8</v>
      </c>
      <c r="M275" s="38">
        <v>180</v>
      </c>
      <c r="N275" s="38">
        <v>3</v>
      </c>
      <c r="O275" s="38"/>
      <c r="P275" s="97" t="s">
        <v>33</v>
      </c>
      <c r="Q275" s="97"/>
    </row>
    <row r="276" s="31" customFormat="1" ht="14.25" customHeight="1" spans="1:17">
      <c r="A276" s="87">
        <v>42</v>
      </c>
      <c r="B276" s="87" t="str">
        <f t="shared" si="4"/>
        <v>170520</v>
      </c>
      <c r="C276" s="94" t="s">
        <v>361</v>
      </c>
      <c r="D276" s="38">
        <v>170520261</v>
      </c>
      <c r="E276" s="38">
        <v>1</v>
      </c>
      <c r="F276" s="38" t="s">
        <v>424</v>
      </c>
      <c r="G276" s="38">
        <v>1</v>
      </c>
      <c r="H276" s="96">
        <v>186.2</v>
      </c>
      <c r="I276" s="96">
        <v>75.8</v>
      </c>
      <c r="J276" s="38">
        <v>5747</v>
      </c>
      <c r="K276" s="96">
        <v>21.1</v>
      </c>
      <c r="L276" s="96">
        <v>7.4</v>
      </c>
      <c r="M276" s="38">
        <v>245</v>
      </c>
      <c r="N276" s="38">
        <v>5</v>
      </c>
      <c r="O276" s="38"/>
      <c r="P276" s="97" t="s">
        <v>425</v>
      </c>
      <c r="Q276" s="97"/>
    </row>
    <row r="277" s="31" customFormat="1" ht="14.25" customHeight="1" spans="1:17">
      <c r="A277" s="87">
        <v>42</v>
      </c>
      <c r="B277" s="87" t="str">
        <f t="shared" si="4"/>
        <v>170520</v>
      </c>
      <c r="C277" s="94" t="s">
        <v>361</v>
      </c>
      <c r="D277" s="38">
        <v>170520262</v>
      </c>
      <c r="E277" s="38">
        <v>1</v>
      </c>
      <c r="F277" s="38" t="s">
        <v>426</v>
      </c>
      <c r="G277" s="38">
        <v>1</v>
      </c>
      <c r="H277" s="96">
        <v>180.1</v>
      </c>
      <c r="I277" s="96">
        <v>69.6</v>
      </c>
      <c r="J277" s="38">
        <v>4503</v>
      </c>
      <c r="K277" s="96">
        <v>14.9</v>
      </c>
      <c r="L277" s="96">
        <v>7.8</v>
      </c>
      <c r="M277" s="38">
        <v>180</v>
      </c>
      <c r="N277" s="38">
        <v>3</v>
      </c>
      <c r="O277" s="38"/>
      <c r="P277" s="97" t="s">
        <v>25</v>
      </c>
      <c r="Q277" s="97"/>
    </row>
    <row r="278" s="31" customFormat="1" ht="14.25" customHeight="1" spans="1:17">
      <c r="A278" s="87">
        <v>42</v>
      </c>
      <c r="B278" s="87" t="str">
        <f t="shared" si="4"/>
        <v>170520</v>
      </c>
      <c r="C278" s="94" t="s">
        <v>361</v>
      </c>
      <c r="D278" s="38">
        <v>170520263</v>
      </c>
      <c r="E278" s="38">
        <v>15</v>
      </c>
      <c r="F278" s="38" t="s">
        <v>427</v>
      </c>
      <c r="G278" s="38">
        <v>1</v>
      </c>
      <c r="H278" s="96">
        <v>175.1</v>
      </c>
      <c r="I278" s="96">
        <v>64.5</v>
      </c>
      <c r="J278" s="38">
        <v>3942</v>
      </c>
      <c r="K278" s="96">
        <v>20.2</v>
      </c>
      <c r="L278" s="96">
        <v>7.4</v>
      </c>
      <c r="M278" s="38">
        <v>200</v>
      </c>
      <c r="N278" s="38">
        <v>5</v>
      </c>
      <c r="O278" s="38"/>
      <c r="P278" s="97" t="s">
        <v>163</v>
      </c>
      <c r="Q278" s="97"/>
    </row>
    <row r="279" s="87" customFormat="1" ht="14.25" customHeight="1" spans="1:19">
      <c r="A279" s="87">
        <v>42</v>
      </c>
      <c r="B279" s="87" t="str">
        <f t="shared" si="4"/>
        <v>170210</v>
      </c>
      <c r="C279" s="94" t="s">
        <v>428</v>
      </c>
      <c r="D279" s="38">
        <v>170210275</v>
      </c>
      <c r="E279" s="34">
        <v>1</v>
      </c>
      <c r="F279" s="38" t="s">
        <v>429</v>
      </c>
      <c r="G279" s="38">
        <v>2</v>
      </c>
      <c r="H279" s="96">
        <v>175.3</v>
      </c>
      <c r="I279" s="96">
        <v>59.4</v>
      </c>
      <c r="J279" s="38">
        <v>3525</v>
      </c>
      <c r="K279" s="96">
        <v>9.3</v>
      </c>
      <c r="L279" s="96">
        <v>8.9</v>
      </c>
      <c r="M279" s="38">
        <v>172</v>
      </c>
      <c r="N279" s="94"/>
      <c r="O279" s="38">
        <v>46</v>
      </c>
      <c r="P279" s="97"/>
      <c r="Q279" s="97" t="s">
        <v>57</v>
      </c>
      <c r="R279" s="31"/>
      <c r="S279" s="31"/>
    </row>
    <row r="280" ht="14.25" customHeight="1" spans="1:19">
      <c r="A280" s="87">
        <v>42</v>
      </c>
      <c r="B280" s="87" t="str">
        <f t="shared" si="4"/>
        <v>170210</v>
      </c>
      <c r="C280" s="94" t="s">
        <v>428</v>
      </c>
      <c r="D280" s="38">
        <v>170210178</v>
      </c>
      <c r="E280" s="34">
        <v>1</v>
      </c>
      <c r="F280" s="38" t="s">
        <v>430</v>
      </c>
      <c r="G280" s="38">
        <v>1</v>
      </c>
      <c r="H280" s="96">
        <v>188.5</v>
      </c>
      <c r="I280" s="96">
        <v>64</v>
      </c>
      <c r="J280" s="38">
        <v>4500</v>
      </c>
      <c r="K280" s="96">
        <v>11.8</v>
      </c>
      <c r="L280" s="96">
        <v>7.4</v>
      </c>
      <c r="M280" s="38">
        <v>228</v>
      </c>
      <c r="N280" s="38">
        <v>6</v>
      </c>
      <c r="O280" s="94"/>
      <c r="P280" s="97" t="s">
        <v>118</v>
      </c>
      <c r="Q280" s="97"/>
      <c r="R280" s="31"/>
      <c r="S280" s="31"/>
    </row>
    <row r="281" ht="14.25" customHeight="1" spans="1:19">
      <c r="A281" s="87">
        <v>42</v>
      </c>
      <c r="B281" s="87" t="str">
        <f t="shared" si="4"/>
        <v>170210</v>
      </c>
      <c r="C281" s="94" t="s">
        <v>428</v>
      </c>
      <c r="D281" s="38">
        <v>170210268</v>
      </c>
      <c r="E281" s="34">
        <v>1</v>
      </c>
      <c r="F281" s="38" t="s">
        <v>431</v>
      </c>
      <c r="G281" s="38">
        <v>1</v>
      </c>
      <c r="H281" s="96">
        <v>185.5</v>
      </c>
      <c r="I281" s="96">
        <v>77.2</v>
      </c>
      <c r="J281" s="38">
        <v>4293</v>
      </c>
      <c r="K281" s="96">
        <v>13.4</v>
      </c>
      <c r="L281" s="96">
        <v>8.6</v>
      </c>
      <c r="M281" s="38">
        <v>230</v>
      </c>
      <c r="N281" s="38">
        <v>1</v>
      </c>
      <c r="O281" s="94"/>
      <c r="P281" s="97" t="s">
        <v>304</v>
      </c>
      <c r="Q281" s="97"/>
      <c r="R281" s="31"/>
      <c r="S281" s="31"/>
    </row>
    <row r="282" ht="14.25" customHeight="1" spans="1:19">
      <c r="A282" s="87">
        <v>42</v>
      </c>
      <c r="B282" s="87" t="str">
        <f t="shared" si="4"/>
        <v>170210</v>
      </c>
      <c r="C282" s="94" t="s">
        <v>428</v>
      </c>
      <c r="D282" s="38">
        <v>170210269</v>
      </c>
      <c r="E282" s="34">
        <v>1</v>
      </c>
      <c r="F282" s="38" t="s">
        <v>432</v>
      </c>
      <c r="G282" s="38">
        <v>1</v>
      </c>
      <c r="H282" s="96">
        <v>187.5</v>
      </c>
      <c r="I282" s="96">
        <v>99.5</v>
      </c>
      <c r="J282" s="38">
        <v>5147</v>
      </c>
      <c r="K282" s="96">
        <v>4.5</v>
      </c>
      <c r="L282" s="96">
        <v>7.8</v>
      </c>
      <c r="M282" s="38">
        <v>215</v>
      </c>
      <c r="N282" s="38">
        <v>0</v>
      </c>
      <c r="O282" s="94"/>
      <c r="P282" s="97" t="s">
        <v>163</v>
      </c>
      <c r="Q282" s="97"/>
      <c r="R282" s="31"/>
      <c r="S282" s="31"/>
    </row>
    <row r="283" ht="14.25" customHeight="1" spans="1:19">
      <c r="A283" s="87">
        <v>42</v>
      </c>
      <c r="B283" s="87" t="str">
        <f t="shared" si="4"/>
        <v>170210</v>
      </c>
      <c r="C283" s="94" t="s">
        <v>428</v>
      </c>
      <c r="D283" s="38">
        <v>170210271</v>
      </c>
      <c r="E283" s="34">
        <v>1</v>
      </c>
      <c r="F283" s="38" t="s">
        <v>433</v>
      </c>
      <c r="G283" s="38">
        <v>1</v>
      </c>
      <c r="H283" s="96">
        <v>171</v>
      </c>
      <c r="I283" s="96">
        <v>63.9</v>
      </c>
      <c r="J283" s="38">
        <v>3987</v>
      </c>
      <c r="K283" s="96">
        <v>4.8</v>
      </c>
      <c r="L283" s="96">
        <v>8.5</v>
      </c>
      <c r="M283" s="38">
        <v>200</v>
      </c>
      <c r="N283" s="38">
        <v>2</v>
      </c>
      <c r="O283" s="94"/>
      <c r="P283" s="97" t="s">
        <v>75</v>
      </c>
      <c r="Q283" s="97"/>
      <c r="R283" s="31"/>
      <c r="S283" s="31"/>
    </row>
    <row r="284" ht="14.25" customHeight="1" spans="1:19">
      <c r="A284" s="87">
        <v>42</v>
      </c>
      <c r="B284" s="87" t="str">
        <f t="shared" si="4"/>
        <v>170210</v>
      </c>
      <c r="C284" s="94" t="s">
        <v>428</v>
      </c>
      <c r="D284" s="38">
        <v>170210272</v>
      </c>
      <c r="E284" s="34">
        <v>1</v>
      </c>
      <c r="F284" s="38" t="s">
        <v>434</v>
      </c>
      <c r="G284" s="38">
        <v>1</v>
      </c>
      <c r="H284" s="96">
        <v>174.5</v>
      </c>
      <c r="I284" s="96">
        <v>54.6</v>
      </c>
      <c r="J284" s="38">
        <v>5112</v>
      </c>
      <c r="K284" s="96">
        <v>13.1</v>
      </c>
      <c r="L284" s="96">
        <v>8</v>
      </c>
      <c r="M284" s="38">
        <v>200</v>
      </c>
      <c r="N284" s="38">
        <v>7</v>
      </c>
      <c r="O284" s="94"/>
      <c r="P284" s="97" t="s">
        <v>302</v>
      </c>
      <c r="Q284" s="97"/>
      <c r="R284" s="31"/>
      <c r="S284" s="31"/>
    </row>
    <row r="285" ht="14.25" customHeight="1" spans="1:19">
      <c r="A285" s="87">
        <v>42</v>
      </c>
      <c r="B285" s="87" t="str">
        <f t="shared" si="4"/>
        <v>170210</v>
      </c>
      <c r="C285" s="94" t="s">
        <v>428</v>
      </c>
      <c r="D285" s="38">
        <v>170210274</v>
      </c>
      <c r="E285" s="34">
        <v>1</v>
      </c>
      <c r="F285" s="38" t="s">
        <v>435</v>
      </c>
      <c r="G285" s="38">
        <v>1</v>
      </c>
      <c r="H285" s="96">
        <v>184.3</v>
      </c>
      <c r="I285" s="96">
        <v>59.8</v>
      </c>
      <c r="J285" s="38">
        <v>4741</v>
      </c>
      <c r="K285" s="96">
        <v>11.5</v>
      </c>
      <c r="L285" s="96">
        <v>7.5</v>
      </c>
      <c r="M285" s="38">
        <v>226</v>
      </c>
      <c r="N285" s="38">
        <v>2</v>
      </c>
      <c r="O285" s="94"/>
      <c r="P285" s="97" t="s">
        <v>436</v>
      </c>
      <c r="Q285" s="97"/>
      <c r="R285" s="31"/>
      <c r="S285" s="31"/>
    </row>
    <row r="286" ht="14.25" customHeight="1" spans="1:19">
      <c r="A286" s="87">
        <v>42</v>
      </c>
      <c r="B286" s="87" t="str">
        <f t="shared" si="4"/>
        <v>170210</v>
      </c>
      <c r="C286" s="94" t="s">
        <v>428</v>
      </c>
      <c r="D286" s="38">
        <v>170210167</v>
      </c>
      <c r="E286" s="34">
        <v>1</v>
      </c>
      <c r="F286" s="38" t="s">
        <v>437</v>
      </c>
      <c r="G286" s="38">
        <v>1</v>
      </c>
      <c r="H286" s="96">
        <v>171.1</v>
      </c>
      <c r="I286" s="96">
        <v>50.8</v>
      </c>
      <c r="J286" s="38">
        <v>2906</v>
      </c>
      <c r="K286" s="96">
        <v>5.8</v>
      </c>
      <c r="L286" s="96">
        <v>8</v>
      </c>
      <c r="M286" s="38">
        <v>200</v>
      </c>
      <c r="N286" s="38">
        <v>4</v>
      </c>
      <c r="O286" s="94"/>
      <c r="P286" s="97" t="s">
        <v>438</v>
      </c>
      <c r="Q286" s="97"/>
      <c r="R286" s="31"/>
      <c r="S286" s="31"/>
    </row>
    <row r="287" ht="14.25" customHeight="1" spans="1:19">
      <c r="A287" s="87">
        <v>42</v>
      </c>
      <c r="B287" s="87" t="str">
        <f t="shared" si="4"/>
        <v>170210</v>
      </c>
      <c r="C287" s="94" t="s">
        <v>428</v>
      </c>
      <c r="D287" s="38">
        <v>170210173</v>
      </c>
      <c r="E287" s="38">
        <v>1</v>
      </c>
      <c r="F287" s="38" t="s">
        <v>439</v>
      </c>
      <c r="G287" s="38">
        <v>1</v>
      </c>
      <c r="H287" s="96">
        <v>173.5</v>
      </c>
      <c r="I287" s="96">
        <v>66</v>
      </c>
      <c r="J287" s="38">
        <v>3670</v>
      </c>
      <c r="K287" s="96">
        <v>17.3</v>
      </c>
      <c r="L287" s="96">
        <v>7.3</v>
      </c>
      <c r="M287" s="38">
        <v>200</v>
      </c>
      <c r="N287" s="38">
        <v>10</v>
      </c>
      <c r="O287" s="94"/>
      <c r="P287" s="97" t="s">
        <v>106</v>
      </c>
      <c r="Q287" s="97"/>
      <c r="R287" s="31"/>
      <c r="S287" s="31"/>
    </row>
    <row r="288" ht="14.25" customHeight="1" spans="1:19">
      <c r="A288" s="87">
        <v>42</v>
      </c>
      <c r="B288" s="87" t="str">
        <f t="shared" si="4"/>
        <v>170210</v>
      </c>
      <c r="C288" s="94" t="s">
        <v>428</v>
      </c>
      <c r="D288" s="38">
        <v>170210201</v>
      </c>
      <c r="E288" s="34">
        <v>1</v>
      </c>
      <c r="F288" s="38" t="s">
        <v>440</v>
      </c>
      <c r="G288" s="38">
        <v>2</v>
      </c>
      <c r="H288" s="96">
        <v>162.1</v>
      </c>
      <c r="I288" s="96">
        <v>62.2</v>
      </c>
      <c r="J288" s="38">
        <v>3034</v>
      </c>
      <c r="K288" s="96">
        <v>18.2</v>
      </c>
      <c r="L288" s="96">
        <v>8.5</v>
      </c>
      <c r="M288" s="38">
        <v>193</v>
      </c>
      <c r="N288" s="94"/>
      <c r="O288" s="38">
        <v>32</v>
      </c>
      <c r="P288" s="97"/>
      <c r="Q288" s="97" t="s">
        <v>23</v>
      </c>
      <c r="R288" s="31"/>
      <c r="S288" s="31"/>
    </row>
    <row r="289" ht="14.25" customHeight="1" spans="1:19">
      <c r="A289" s="87">
        <v>42</v>
      </c>
      <c r="B289" s="87" t="str">
        <f t="shared" si="4"/>
        <v>170210</v>
      </c>
      <c r="C289" s="94" t="s">
        <v>428</v>
      </c>
      <c r="D289" s="38">
        <v>170210206</v>
      </c>
      <c r="E289" s="34">
        <v>1</v>
      </c>
      <c r="F289" s="38" t="s">
        <v>441</v>
      </c>
      <c r="G289" s="38">
        <v>2</v>
      </c>
      <c r="H289" s="96">
        <v>155.5</v>
      </c>
      <c r="I289" s="96">
        <v>47</v>
      </c>
      <c r="J289" s="38">
        <v>2741</v>
      </c>
      <c r="K289" s="96">
        <v>12.3</v>
      </c>
      <c r="L289" s="96">
        <v>8</v>
      </c>
      <c r="M289" s="38">
        <v>190</v>
      </c>
      <c r="N289" s="94"/>
      <c r="O289" s="38">
        <v>38</v>
      </c>
      <c r="P289" s="97"/>
      <c r="Q289" s="97" t="s">
        <v>42</v>
      </c>
      <c r="R289" s="31"/>
      <c r="S289" s="31"/>
    </row>
    <row r="290" ht="14.25" customHeight="1" spans="1:19">
      <c r="A290" s="87">
        <v>42</v>
      </c>
      <c r="B290" s="87" t="str">
        <f t="shared" si="4"/>
        <v>170210</v>
      </c>
      <c r="C290" s="94" t="s">
        <v>428</v>
      </c>
      <c r="D290" s="38">
        <v>170210207</v>
      </c>
      <c r="E290" s="34">
        <v>1</v>
      </c>
      <c r="F290" s="38" t="s">
        <v>442</v>
      </c>
      <c r="G290" s="38">
        <v>2</v>
      </c>
      <c r="H290" s="96">
        <v>170.3</v>
      </c>
      <c r="I290" s="96">
        <v>63.7</v>
      </c>
      <c r="J290" s="38">
        <v>3738</v>
      </c>
      <c r="K290" s="96">
        <v>11.4</v>
      </c>
      <c r="L290" s="96">
        <v>9.3</v>
      </c>
      <c r="M290" s="38">
        <v>190</v>
      </c>
      <c r="N290" s="94"/>
      <c r="O290" s="38">
        <v>33</v>
      </c>
      <c r="P290" s="97"/>
      <c r="Q290" s="97" t="s">
        <v>75</v>
      </c>
      <c r="R290" s="31"/>
      <c r="S290" s="31"/>
    </row>
    <row r="291" ht="14.25" customHeight="1" spans="1:19">
      <c r="A291" s="87">
        <v>42</v>
      </c>
      <c r="B291" s="87" t="str">
        <f t="shared" si="4"/>
        <v>170210</v>
      </c>
      <c r="C291" s="94" t="s">
        <v>428</v>
      </c>
      <c r="D291" s="38">
        <v>170210209</v>
      </c>
      <c r="E291" s="34">
        <v>1</v>
      </c>
      <c r="F291" s="38" t="s">
        <v>443</v>
      </c>
      <c r="G291" s="38">
        <v>2</v>
      </c>
      <c r="H291" s="96">
        <v>160</v>
      </c>
      <c r="I291" s="96">
        <v>48</v>
      </c>
      <c r="J291" s="38">
        <v>2149</v>
      </c>
      <c r="K291" s="96">
        <v>13.7</v>
      </c>
      <c r="L291" s="96">
        <v>9</v>
      </c>
      <c r="M291" s="38">
        <v>160</v>
      </c>
      <c r="N291" s="94"/>
      <c r="O291" s="38">
        <v>40</v>
      </c>
      <c r="P291" s="97"/>
      <c r="Q291" s="97" t="s">
        <v>113</v>
      </c>
      <c r="R291" s="31"/>
      <c r="S291" s="31"/>
    </row>
    <row r="292" ht="14.25" customHeight="1" spans="1:19">
      <c r="A292" s="87">
        <v>42</v>
      </c>
      <c r="B292" s="87" t="str">
        <f t="shared" si="4"/>
        <v>170210</v>
      </c>
      <c r="C292" s="94" t="s">
        <v>428</v>
      </c>
      <c r="D292" s="38">
        <v>170210210</v>
      </c>
      <c r="E292" s="34">
        <v>1</v>
      </c>
      <c r="F292" s="38" t="s">
        <v>444</v>
      </c>
      <c r="G292" s="38">
        <v>2</v>
      </c>
      <c r="H292" s="96">
        <v>150</v>
      </c>
      <c r="I292" s="96">
        <v>50</v>
      </c>
      <c r="J292" s="38">
        <v>2307</v>
      </c>
      <c r="K292" s="96">
        <v>14.7</v>
      </c>
      <c r="L292" s="96">
        <v>9.2</v>
      </c>
      <c r="M292" s="38">
        <v>170</v>
      </c>
      <c r="N292" s="94"/>
      <c r="O292" s="38">
        <v>32</v>
      </c>
      <c r="P292" s="97"/>
      <c r="Q292" s="97" t="s">
        <v>29</v>
      </c>
      <c r="R292" s="31"/>
      <c r="S292" s="31"/>
    </row>
    <row r="293" ht="14.25" customHeight="1" spans="1:19">
      <c r="A293" s="87">
        <v>42</v>
      </c>
      <c r="B293" s="87" t="str">
        <f t="shared" si="4"/>
        <v>170210</v>
      </c>
      <c r="C293" s="94" t="s">
        <v>428</v>
      </c>
      <c r="D293" s="38">
        <v>170210214</v>
      </c>
      <c r="E293" s="34">
        <v>1</v>
      </c>
      <c r="F293" s="38" t="s">
        <v>445</v>
      </c>
      <c r="G293" s="38">
        <v>2</v>
      </c>
      <c r="H293" s="96">
        <v>161</v>
      </c>
      <c r="I293" s="96">
        <v>49.8</v>
      </c>
      <c r="J293" s="38">
        <v>2363</v>
      </c>
      <c r="K293" s="96">
        <v>19.8</v>
      </c>
      <c r="L293" s="96">
        <v>9.3</v>
      </c>
      <c r="M293" s="38">
        <v>155</v>
      </c>
      <c r="N293" s="94"/>
      <c r="O293" s="38">
        <v>38</v>
      </c>
      <c r="P293" s="97"/>
      <c r="Q293" s="97" t="s">
        <v>298</v>
      </c>
      <c r="R293" s="31"/>
      <c r="S293" s="31"/>
    </row>
    <row r="294" ht="14.25" customHeight="1" spans="1:19">
      <c r="A294" s="87">
        <v>42</v>
      </c>
      <c r="B294" s="87" t="str">
        <f t="shared" si="4"/>
        <v>170210</v>
      </c>
      <c r="C294" s="94" t="s">
        <v>428</v>
      </c>
      <c r="D294" s="38">
        <v>170210216</v>
      </c>
      <c r="E294" s="34">
        <v>1</v>
      </c>
      <c r="F294" s="38" t="s">
        <v>446</v>
      </c>
      <c r="G294" s="38">
        <v>2</v>
      </c>
      <c r="H294" s="96">
        <v>157</v>
      </c>
      <c r="I294" s="96">
        <v>44.7</v>
      </c>
      <c r="J294" s="38">
        <v>3338</v>
      </c>
      <c r="K294" s="96">
        <v>16.4</v>
      </c>
      <c r="L294" s="96">
        <v>8.9</v>
      </c>
      <c r="M294" s="38">
        <v>170</v>
      </c>
      <c r="N294" s="94"/>
      <c r="O294" s="38">
        <v>40</v>
      </c>
      <c r="P294" s="97"/>
      <c r="Q294" s="97" t="s">
        <v>69</v>
      </c>
      <c r="R294" s="31"/>
      <c r="S294" s="31"/>
    </row>
    <row r="295" ht="14.25" customHeight="1" spans="1:19">
      <c r="A295" s="87">
        <v>42</v>
      </c>
      <c r="B295" s="87" t="str">
        <f t="shared" si="4"/>
        <v>170210</v>
      </c>
      <c r="C295" s="94" t="s">
        <v>428</v>
      </c>
      <c r="D295" s="38">
        <v>170210219</v>
      </c>
      <c r="E295" s="34">
        <v>1</v>
      </c>
      <c r="F295" s="38" t="s">
        <v>447</v>
      </c>
      <c r="G295" s="38">
        <v>1</v>
      </c>
      <c r="H295" s="96">
        <v>175.1</v>
      </c>
      <c r="I295" s="96">
        <v>77.6</v>
      </c>
      <c r="J295" s="38">
        <v>5347</v>
      </c>
      <c r="K295" s="96">
        <v>11</v>
      </c>
      <c r="L295" s="96">
        <v>8.1</v>
      </c>
      <c r="M295" s="38">
        <v>225</v>
      </c>
      <c r="N295" s="38">
        <v>1</v>
      </c>
      <c r="O295" s="94"/>
      <c r="P295" s="97" t="s">
        <v>448</v>
      </c>
      <c r="Q295" s="97"/>
      <c r="R295" s="31"/>
      <c r="S295" s="31"/>
    </row>
    <row r="296" ht="14.25" customHeight="1" spans="1:19">
      <c r="A296" s="87">
        <v>42</v>
      </c>
      <c r="B296" s="87" t="str">
        <f t="shared" si="4"/>
        <v>170210</v>
      </c>
      <c r="C296" s="94" t="s">
        <v>428</v>
      </c>
      <c r="D296" s="38">
        <v>170210221</v>
      </c>
      <c r="E296" s="34">
        <v>1</v>
      </c>
      <c r="F296" s="38" t="s">
        <v>449</v>
      </c>
      <c r="G296" s="38">
        <v>1</v>
      </c>
      <c r="H296" s="96">
        <v>173.2</v>
      </c>
      <c r="I296" s="96">
        <v>73.2</v>
      </c>
      <c r="J296" s="38">
        <v>3965</v>
      </c>
      <c r="K296" s="96">
        <v>16.9</v>
      </c>
      <c r="L296" s="96">
        <v>7.4</v>
      </c>
      <c r="M296" s="38">
        <v>235</v>
      </c>
      <c r="N296" s="38">
        <v>2</v>
      </c>
      <c r="O296" s="94"/>
      <c r="P296" s="97" t="s">
        <v>69</v>
      </c>
      <c r="Q296" s="97"/>
      <c r="R296" s="31"/>
      <c r="S296" s="31"/>
    </row>
    <row r="297" ht="14.25" customHeight="1" spans="1:19">
      <c r="A297" s="87">
        <v>42</v>
      </c>
      <c r="B297" s="87" t="str">
        <f t="shared" si="4"/>
        <v>170210</v>
      </c>
      <c r="C297" s="94" t="s">
        <v>428</v>
      </c>
      <c r="D297" s="38">
        <v>170210222</v>
      </c>
      <c r="E297" s="34">
        <v>1</v>
      </c>
      <c r="F297" s="38" t="s">
        <v>450</v>
      </c>
      <c r="G297" s="38">
        <v>1</v>
      </c>
      <c r="H297" s="96">
        <v>180</v>
      </c>
      <c r="I297" s="96">
        <v>63.6</v>
      </c>
      <c r="J297" s="38">
        <v>5623</v>
      </c>
      <c r="K297" s="96">
        <v>20.3</v>
      </c>
      <c r="L297" s="96">
        <v>7.1</v>
      </c>
      <c r="M297" s="38">
        <v>235</v>
      </c>
      <c r="N297" s="38">
        <v>6</v>
      </c>
      <c r="O297" s="94"/>
      <c r="P297" s="97" t="s">
        <v>113</v>
      </c>
      <c r="Q297" s="97"/>
      <c r="R297" s="31"/>
      <c r="S297" s="31"/>
    </row>
    <row r="298" ht="14.25" customHeight="1" spans="1:19">
      <c r="A298" s="87">
        <v>42</v>
      </c>
      <c r="B298" s="87" t="str">
        <f t="shared" si="4"/>
        <v>170210</v>
      </c>
      <c r="C298" s="94" t="s">
        <v>428</v>
      </c>
      <c r="D298" s="38">
        <v>170210228</v>
      </c>
      <c r="E298" s="34">
        <v>1</v>
      </c>
      <c r="F298" s="38" t="s">
        <v>451</v>
      </c>
      <c r="G298" s="38">
        <v>1</v>
      </c>
      <c r="H298" s="96">
        <v>180</v>
      </c>
      <c r="I298" s="96">
        <v>66.9</v>
      </c>
      <c r="J298" s="38">
        <v>5836</v>
      </c>
      <c r="K298" s="96">
        <v>16.2</v>
      </c>
      <c r="L298" s="96">
        <v>7.8</v>
      </c>
      <c r="M298" s="38">
        <v>204</v>
      </c>
      <c r="N298" s="38">
        <v>6</v>
      </c>
      <c r="O298" s="94"/>
      <c r="P298" s="97" t="s">
        <v>175</v>
      </c>
      <c r="Q298" s="97"/>
      <c r="R298" s="31"/>
      <c r="S298" s="31"/>
    </row>
    <row r="299" ht="14.25" customHeight="1" spans="1:19">
      <c r="A299" s="87">
        <v>42</v>
      </c>
      <c r="B299" s="87" t="str">
        <f t="shared" si="4"/>
        <v>170210</v>
      </c>
      <c r="C299" s="94" t="s">
        <v>428</v>
      </c>
      <c r="D299" s="38">
        <v>170210230</v>
      </c>
      <c r="E299" s="34">
        <v>1</v>
      </c>
      <c r="F299" s="38" t="s">
        <v>452</v>
      </c>
      <c r="G299" s="38">
        <v>1</v>
      </c>
      <c r="H299" s="96">
        <v>184</v>
      </c>
      <c r="I299" s="96">
        <v>79.5</v>
      </c>
      <c r="J299" s="38">
        <v>3944</v>
      </c>
      <c r="K299" s="96">
        <v>8.1</v>
      </c>
      <c r="L299" s="96">
        <v>8.2</v>
      </c>
      <c r="M299" s="38">
        <v>215</v>
      </c>
      <c r="N299" s="38">
        <v>1</v>
      </c>
      <c r="O299" s="94"/>
      <c r="P299" s="97" t="s">
        <v>212</v>
      </c>
      <c r="Q299" s="97"/>
      <c r="R299" s="31"/>
      <c r="S299" s="31"/>
    </row>
    <row r="300" ht="14.25" customHeight="1" spans="1:19">
      <c r="A300" s="87">
        <v>42</v>
      </c>
      <c r="B300" s="87" t="str">
        <f t="shared" si="4"/>
        <v>170210</v>
      </c>
      <c r="C300" s="94" t="s">
        <v>428</v>
      </c>
      <c r="D300" s="38">
        <v>170210232</v>
      </c>
      <c r="E300" s="34">
        <v>1</v>
      </c>
      <c r="F300" s="38" t="s">
        <v>453</v>
      </c>
      <c r="G300" s="38">
        <v>1</v>
      </c>
      <c r="H300" s="96">
        <v>179</v>
      </c>
      <c r="I300" s="96">
        <v>71.8</v>
      </c>
      <c r="J300" s="38">
        <v>4476</v>
      </c>
      <c r="K300" s="96">
        <v>4</v>
      </c>
      <c r="L300" s="96">
        <v>7.9</v>
      </c>
      <c r="M300" s="38">
        <v>225</v>
      </c>
      <c r="N300" s="38">
        <v>3</v>
      </c>
      <c r="O300" s="94"/>
      <c r="P300" s="97" t="s">
        <v>128</v>
      </c>
      <c r="Q300" s="97"/>
      <c r="R300" s="31"/>
      <c r="S300" s="31"/>
    </row>
    <row r="301" ht="14.25" customHeight="1" spans="1:19">
      <c r="A301" s="87">
        <v>42</v>
      </c>
      <c r="B301" s="87" t="str">
        <f t="shared" si="4"/>
        <v>170210</v>
      </c>
      <c r="C301" s="94" t="s">
        <v>428</v>
      </c>
      <c r="D301" s="38">
        <v>170210234</v>
      </c>
      <c r="E301" s="34">
        <v>1</v>
      </c>
      <c r="F301" s="38" t="s">
        <v>454</v>
      </c>
      <c r="G301" s="38">
        <v>1</v>
      </c>
      <c r="H301" s="96">
        <v>179</v>
      </c>
      <c r="I301" s="96">
        <v>63.5</v>
      </c>
      <c r="J301" s="38">
        <v>3852</v>
      </c>
      <c r="K301" s="96">
        <v>3.6</v>
      </c>
      <c r="L301" s="96">
        <v>7.3</v>
      </c>
      <c r="M301" s="38">
        <v>225</v>
      </c>
      <c r="N301" s="38">
        <v>10</v>
      </c>
      <c r="O301" s="94"/>
      <c r="P301" s="97" t="s">
        <v>355</v>
      </c>
      <c r="Q301" s="97"/>
      <c r="R301" s="31"/>
      <c r="S301" s="31"/>
    </row>
    <row r="302" ht="14.25" customHeight="1" spans="1:19">
      <c r="A302" s="87">
        <v>42</v>
      </c>
      <c r="B302" s="87" t="str">
        <f t="shared" si="4"/>
        <v>170210</v>
      </c>
      <c r="C302" s="94" t="s">
        <v>428</v>
      </c>
      <c r="D302" s="38">
        <v>170210236</v>
      </c>
      <c r="E302" s="34">
        <v>1</v>
      </c>
      <c r="F302" s="38" t="s">
        <v>455</v>
      </c>
      <c r="G302" s="38">
        <v>1</v>
      </c>
      <c r="H302" s="96">
        <v>188.5</v>
      </c>
      <c r="I302" s="96">
        <v>59.2</v>
      </c>
      <c r="J302" s="38">
        <v>4352</v>
      </c>
      <c r="K302" s="96">
        <v>6</v>
      </c>
      <c r="L302" s="96">
        <v>7.7</v>
      </c>
      <c r="M302" s="38">
        <v>200</v>
      </c>
      <c r="N302" s="38">
        <v>2</v>
      </c>
      <c r="O302" s="94"/>
      <c r="P302" s="97" t="s">
        <v>98</v>
      </c>
      <c r="Q302" s="97"/>
      <c r="R302" s="31"/>
      <c r="S302" s="31"/>
    </row>
    <row r="303" ht="14.25" customHeight="1" spans="1:19">
      <c r="A303" s="87">
        <v>42</v>
      </c>
      <c r="B303" s="87" t="str">
        <f t="shared" si="4"/>
        <v>170210</v>
      </c>
      <c r="C303" s="94" t="s">
        <v>428</v>
      </c>
      <c r="D303" s="38">
        <v>170210240</v>
      </c>
      <c r="E303" s="34">
        <v>1</v>
      </c>
      <c r="F303" s="38" t="s">
        <v>456</v>
      </c>
      <c r="G303" s="38">
        <v>1</v>
      </c>
      <c r="H303" s="96">
        <v>185.5</v>
      </c>
      <c r="I303" s="96">
        <v>92.9</v>
      </c>
      <c r="J303" s="38">
        <v>4903</v>
      </c>
      <c r="K303" s="96">
        <v>10</v>
      </c>
      <c r="L303" s="96">
        <v>8.3</v>
      </c>
      <c r="M303" s="38">
        <v>185</v>
      </c>
      <c r="N303" s="38">
        <v>1</v>
      </c>
      <c r="O303" s="94"/>
      <c r="P303" s="97" t="s">
        <v>457</v>
      </c>
      <c r="Q303" s="97"/>
      <c r="R303" s="31"/>
      <c r="S303" s="31"/>
    </row>
    <row r="304" ht="14.25" customHeight="1" spans="1:19">
      <c r="A304" s="87">
        <v>42</v>
      </c>
      <c r="B304" s="87" t="str">
        <f t="shared" si="4"/>
        <v>170210</v>
      </c>
      <c r="C304" s="94" t="s">
        <v>428</v>
      </c>
      <c r="D304" s="38">
        <v>170210245</v>
      </c>
      <c r="E304" s="34">
        <v>1</v>
      </c>
      <c r="F304" s="38" t="s">
        <v>458</v>
      </c>
      <c r="G304" s="38">
        <v>1</v>
      </c>
      <c r="H304" s="96">
        <v>179.5</v>
      </c>
      <c r="I304" s="96">
        <v>109</v>
      </c>
      <c r="J304" s="38">
        <v>3598</v>
      </c>
      <c r="K304" s="96">
        <v>6.5</v>
      </c>
      <c r="L304" s="96">
        <v>8.2</v>
      </c>
      <c r="M304" s="38">
        <v>190</v>
      </c>
      <c r="N304" s="38">
        <v>0</v>
      </c>
      <c r="O304" s="94"/>
      <c r="P304" s="97" t="s">
        <v>415</v>
      </c>
      <c r="Q304" s="97"/>
      <c r="R304" s="31"/>
      <c r="S304" s="31"/>
    </row>
    <row r="305" ht="14.25" customHeight="1" spans="1:19">
      <c r="A305" s="87">
        <v>42</v>
      </c>
      <c r="B305" s="87" t="str">
        <f t="shared" si="4"/>
        <v>170210</v>
      </c>
      <c r="C305" s="94" t="s">
        <v>428</v>
      </c>
      <c r="D305" s="38">
        <v>170210252</v>
      </c>
      <c r="E305" s="34">
        <v>1</v>
      </c>
      <c r="F305" s="38" t="s">
        <v>459</v>
      </c>
      <c r="G305" s="38">
        <v>1</v>
      </c>
      <c r="H305" s="96">
        <v>186.5</v>
      </c>
      <c r="I305" s="96">
        <v>92.4</v>
      </c>
      <c r="J305" s="38">
        <v>5223</v>
      </c>
      <c r="K305" s="96">
        <v>21.1</v>
      </c>
      <c r="L305" s="96">
        <v>8</v>
      </c>
      <c r="M305" s="38">
        <v>210</v>
      </c>
      <c r="N305" s="38">
        <v>2</v>
      </c>
      <c r="O305" s="94"/>
      <c r="P305" s="97" t="s">
        <v>200</v>
      </c>
      <c r="Q305" s="97"/>
      <c r="R305" s="31"/>
      <c r="S305" s="31"/>
    </row>
    <row r="306" ht="14.25" customHeight="1" spans="1:19">
      <c r="A306" s="87">
        <v>42</v>
      </c>
      <c r="B306" s="87" t="str">
        <f t="shared" si="4"/>
        <v>170210</v>
      </c>
      <c r="C306" s="94" t="s">
        <v>428</v>
      </c>
      <c r="D306" s="38">
        <v>170210256</v>
      </c>
      <c r="E306" s="34">
        <v>1</v>
      </c>
      <c r="F306" s="38" t="s">
        <v>460</v>
      </c>
      <c r="G306" s="38">
        <v>1</v>
      </c>
      <c r="H306" s="96">
        <v>168.3</v>
      </c>
      <c r="I306" s="96">
        <v>55</v>
      </c>
      <c r="J306" s="38">
        <v>3437</v>
      </c>
      <c r="K306" s="96">
        <v>5.1</v>
      </c>
      <c r="L306" s="96">
        <v>7.2</v>
      </c>
      <c r="M306" s="38">
        <v>224</v>
      </c>
      <c r="N306" s="38">
        <v>2</v>
      </c>
      <c r="O306" s="94"/>
      <c r="P306" s="97" t="s">
        <v>175</v>
      </c>
      <c r="Q306" s="97"/>
      <c r="R306" s="31"/>
      <c r="S306" s="31"/>
    </row>
    <row r="307" ht="14.25" customHeight="1" spans="1:19">
      <c r="A307" s="87">
        <v>42</v>
      </c>
      <c r="B307" s="87" t="str">
        <f t="shared" si="4"/>
        <v>170210</v>
      </c>
      <c r="C307" s="94" t="s">
        <v>428</v>
      </c>
      <c r="D307" s="38">
        <v>170210257</v>
      </c>
      <c r="E307" s="34">
        <v>1</v>
      </c>
      <c r="F307" s="38" t="s">
        <v>461</v>
      </c>
      <c r="G307" s="38">
        <v>1</v>
      </c>
      <c r="H307" s="96">
        <v>182.9</v>
      </c>
      <c r="I307" s="96">
        <v>62</v>
      </c>
      <c r="J307" s="38">
        <v>3989</v>
      </c>
      <c r="K307" s="96">
        <v>7.6</v>
      </c>
      <c r="L307" s="96">
        <v>6.9</v>
      </c>
      <c r="M307" s="38">
        <v>230</v>
      </c>
      <c r="N307" s="38">
        <v>6</v>
      </c>
      <c r="O307" s="94"/>
      <c r="P307" s="97" t="s">
        <v>462</v>
      </c>
      <c r="Q307" s="97"/>
      <c r="R307" s="31"/>
      <c r="S307" s="31"/>
    </row>
    <row r="308" ht="14.25" customHeight="1" spans="1:19">
      <c r="A308" s="87">
        <v>42</v>
      </c>
      <c r="B308" s="87" t="str">
        <f t="shared" si="4"/>
        <v>170210</v>
      </c>
      <c r="C308" s="94" t="s">
        <v>428</v>
      </c>
      <c r="D308" s="38">
        <v>170210258</v>
      </c>
      <c r="E308" s="34">
        <v>1</v>
      </c>
      <c r="F308" s="38" t="s">
        <v>463</v>
      </c>
      <c r="G308" s="38">
        <v>1</v>
      </c>
      <c r="H308" s="96">
        <v>181.2</v>
      </c>
      <c r="I308" s="96">
        <v>73.7</v>
      </c>
      <c r="J308" s="38">
        <v>4584</v>
      </c>
      <c r="K308" s="96">
        <v>11.2</v>
      </c>
      <c r="L308" s="96">
        <v>7.2</v>
      </c>
      <c r="M308" s="38">
        <v>242</v>
      </c>
      <c r="N308" s="38">
        <v>4</v>
      </c>
      <c r="O308" s="94"/>
      <c r="P308" s="97" t="s">
        <v>464</v>
      </c>
      <c r="Q308" s="97"/>
      <c r="R308" s="31"/>
      <c r="S308" s="31"/>
    </row>
    <row r="309" ht="14.25" customHeight="1" spans="1:19">
      <c r="A309" s="87">
        <v>42</v>
      </c>
      <c r="B309" s="87" t="str">
        <f t="shared" si="4"/>
        <v>170210</v>
      </c>
      <c r="C309" s="94" t="s">
        <v>428</v>
      </c>
      <c r="D309" s="38">
        <v>170210105</v>
      </c>
      <c r="E309" s="34">
        <v>1</v>
      </c>
      <c r="F309" s="38" t="s">
        <v>465</v>
      </c>
      <c r="G309" s="38">
        <v>2</v>
      </c>
      <c r="H309" s="96">
        <v>162.8</v>
      </c>
      <c r="I309" s="96">
        <v>52</v>
      </c>
      <c r="J309" s="38">
        <v>3399</v>
      </c>
      <c r="K309" s="96">
        <v>27</v>
      </c>
      <c r="L309" s="96">
        <v>9</v>
      </c>
      <c r="M309" s="38">
        <v>176</v>
      </c>
      <c r="N309" s="94"/>
      <c r="O309" s="38">
        <v>58</v>
      </c>
      <c r="P309" s="97"/>
      <c r="Q309" s="97" t="s">
        <v>98</v>
      </c>
      <c r="R309" s="31"/>
      <c r="S309" s="31"/>
    </row>
    <row r="310" ht="14.25" customHeight="1" spans="1:19">
      <c r="A310" s="87">
        <v>42</v>
      </c>
      <c r="B310" s="87" t="str">
        <f t="shared" si="4"/>
        <v>170210</v>
      </c>
      <c r="C310" s="94" t="s">
        <v>428</v>
      </c>
      <c r="D310" s="38">
        <v>170210109</v>
      </c>
      <c r="E310" s="34">
        <v>1</v>
      </c>
      <c r="F310" s="38" t="s">
        <v>466</v>
      </c>
      <c r="G310" s="38">
        <v>2</v>
      </c>
      <c r="H310" s="96">
        <v>159.5</v>
      </c>
      <c r="I310" s="96">
        <v>46.9</v>
      </c>
      <c r="J310" s="38">
        <v>2589</v>
      </c>
      <c r="K310" s="96">
        <v>20.4</v>
      </c>
      <c r="L310" s="96">
        <v>9.6</v>
      </c>
      <c r="M310" s="38">
        <v>183</v>
      </c>
      <c r="N310" s="94"/>
      <c r="O310" s="38">
        <v>40</v>
      </c>
      <c r="P310" s="97"/>
      <c r="Q310" s="97" t="s">
        <v>436</v>
      </c>
      <c r="R310" s="31"/>
      <c r="S310" s="31"/>
    </row>
    <row r="311" ht="14.25" customHeight="1" spans="1:19">
      <c r="A311" s="87">
        <v>42</v>
      </c>
      <c r="B311" s="87" t="str">
        <f t="shared" si="4"/>
        <v>170210</v>
      </c>
      <c r="C311" s="94" t="s">
        <v>428</v>
      </c>
      <c r="D311" s="38">
        <v>170210110</v>
      </c>
      <c r="E311" s="34">
        <v>1</v>
      </c>
      <c r="F311" s="38" t="s">
        <v>467</v>
      </c>
      <c r="G311" s="38">
        <v>2</v>
      </c>
      <c r="H311" s="96">
        <v>163.5</v>
      </c>
      <c r="I311" s="96">
        <v>60</v>
      </c>
      <c r="J311" s="38">
        <v>3128</v>
      </c>
      <c r="K311" s="96">
        <v>17.1</v>
      </c>
      <c r="L311" s="96">
        <v>9.5</v>
      </c>
      <c r="M311" s="38">
        <v>165</v>
      </c>
      <c r="N311" s="94"/>
      <c r="O311" s="38">
        <v>41</v>
      </c>
      <c r="P311" s="97"/>
      <c r="Q311" s="97" t="s">
        <v>148</v>
      </c>
      <c r="R311" s="31"/>
      <c r="S311" s="31"/>
    </row>
    <row r="312" ht="14.25" customHeight="1" spans="1:19">
      <c r="A312" s="87">
        <v>42</v>
      </c>
      <c r="B312" s="87" t="str">
        <f t="shared" si="4"/>
        <v>170210</v>
      </c>
      <c r="C312" s="94" t="s">
        <v>428</v>
      </c>
      <c r="D312" s="38">
        <v>170210115</v>
      </c>
      <c r="E312" s="34">
        <v>1</v>
      </c>
      <c r="F312" s="38" t="s">
        <v>468</v>
      </c>
      <c r="G312" s="38">
        <v>2</v>
      </c>
      <c r="H312" s="96">
        <v>168.5</v>
      </c>
      <c r="I312" s="96">
        <v>57</v>
      </c>
      <c r="J312" s="38">
        <v>3500</v>
      </c>
      <c r="K312" s="96">
        <v>22.4</v>
      </c>
      <c r="L312" s="96">
        <v>10.1</v>
      </c>
      <c r="M312" s="38">
        <v>185</v>
      </c>
      <c r="N312" s="94"/>
      <c r="O312" s="38">
        <v>41</v>
      </c>
      <c r="P312" s="97"/>
      <c r="Q312" s="97" t="s">
        <v>62</v>
      </c>
      <c r="R312" s="31"/>
      <c r="S312" s="31"/>
    </row>
    <row r="313" ht="14.25" customHeight="1" spans="1:19">
      <c r="A313" s="87">
        <v>42</v>
      </c>
      <c r="B313" s="87" t="str">
        <f t="shared" si="4"/>
        <v>170210</v>
      </c>
      <c r="C313" s="94" t="s">
        <v>428</v>
      </c>
      <c r="D313" s="38">
        <v>170210129</v>
      </c>
      <c r="E313" s="34">
        <v>1</v>
      </c>
      <c r="F313" s="38" t="s">
        <v>469</v>
      </c>
      <c r="G313" s="38">
        <v>1</v>
      </c>
      <c r="H313" s="96">
        <v>168</v>
      </c>
      <c r="I313" s="96">
        <v>65.4</v>
      </c>
      <c r="J313" s="38">
        <v>3839</v>
      </c>
      <c r="K313" s="96">
        <v>4.7</v>
      </c>
      <c r="L313" s="96">
        <v>9.2</v>
      </c>
      <c r="M313" s="38">
        <v>160</v>
      </c>
      <c r="N313" s="38">
        <v>1</v>
      </c>
      <c r="O313" s="94"/>
      <c r="P313" s="97" t="s">
        <v>470</v>
      </c>
      <c r="Q313" s="97"/>
      <c r="R313" s="31"/>
      <c r="S313" s="31"/>
    </row>
    <row r="314" ht="14.25" customHeight="1" spans="1:19">
      <c r="A314" s="87">
        <v>42</v>
      </c>
      <c r="B314" s="87" t="str">
        <f t="shared" si="4"/>
        <v>170210</v>
      </c>
      <c r="C314" s="94" t="s">
        <v>428</v>
      </c>
      <c r="D314" s="38">
        <v>170210131</v>
      </c>
      <c r="E314" s="34">
        <v>1</v>
      </c>
      <c r="F314" s="38" t="s">
        <v>471</v>
      </c>
      <c r="G314" s="38">
        <v>1</v>
      </c>
      <c r="H314" s="96">
        <v>185</v>
      </c>
      <c r="I314" s="96">
        <v>76.3</v>
      </c>
      <c r="J314" s="38">
        <v>4514</v>
      </c>
      <c r="K314" s="96">
        <v>18.6</v>
      </c>
      <c r="L314" s="96">
        <v>8.7</v>
      </c>
      <c r="M314" s="38">
        <v>215</v>
      </c>
      <c r="N314" s="38">
        <v>11</v>
      </c>
      <c r="O314" s="94"/>
      <c r="P314" s="97" t="s">
        <v>225</v>
      </c>
      <c r="Q314" s="97"/>
      <c r="R314" s="31"/>
      <c r="S314" s="31"/>
    </row>
    <row r="315" ht="14.25" customHeight="1" spans="1:19">
      <c r="A315" s="87">
        <v>42</v>
      </c>
      <c r="B315" s="87" t="str">
        <f t="shared" si="4"/>
        <v>170210</v>
      </c>
      <c r="C315" s="94" t="s">
        <v>428</v>
      </c>
      <c r="D315" s="38">
        <v>170210132</v>
      </c>
      <c r="E315" s="34">
        <v>1</v>
      </c>
      <c r="F315" s="38" t="s">
        <v>472</v>
      </c>
      <c r="G315" s="38">
        <v>1</v>
      </c>
      <c r="H315" s="96">
        <v>184.2</v>
      </c>
      <c r="I315" s="96">
        <v>56</v>
      </c>
      <c r="J315" s="38">
        <v>3761</v>
      </c>
      <c r="K315" s="96">
        <v>9.1</v>
      </c>
      <c r="L315" s="96">
        <v>7.8</v>
      </c>
      <c r="M315" s="38">
        <v>245</v>
      </c>
      <c r="N315" s="38">
        <v>8</v>
      </c>
      <c r="O315" s="94"/>
      <c r="P315" s="97" t="s">
        <v>163</v>
      </c>
      <c r="Q315" s="97"/>
      <c r="R315" s="31"/>
      <c r="S315" s="31"/>
    </row>
    <row r="316" ht="14.25" customHeight="1" spans="1:19">
      <c r="A316" s="87">
        <v>42</v>
      </c>
      <c r="B316" s="87" t="str">
        <f t="shared" si="4"/>
        <v>170210</v>
      </c>
      <c r="C316" s="94" t="s">
        <v>428</v>
      </c>
      <c r="D316" s="38">
        <v>170210135</v>
      </c>
      <c r="E316" s="34">
        <v>1</v>
      </c>
      <c r="F316" s="38" t="s">
        <v>473</v>
      </c>
      <c r="G316" s="38">
        <v>1</v>
      </c>
      <c r="H316" s="96">
        <v>182</v>
      </c>
      <c r="I316" s="96">
        <v>54.8</v>
      </c>
      <c r="J316" s="38">
        <v>4266</v>
      </c>
      <c r="K316" s="96">
        <v>4</v>
      </c>
      <c r="L316" s="96">
        <v>7.9</v>
      </c>
      <c r="M316" s="38">
        <v>215</v>
      </c>
      <c r="N316" s="38">
        <v>5</v>
      </c>
      <c r="O316" s="94"/>
      <c r="P316" s="97" t="s">
        <v>98</v>
      </c>
      <c r="Q316" s="97"/>
      <c r="R316" s="31"/>
      <c r="S316" s="31"/>
    </row>
    <row r="317" ht="14.25" customHeight="1" spans="1:19">
      <c r="A317" s="87">
        <v>42</v>
      </c>
      <c r="B317" s="87" t="str">
        <f t="shared" si="4"/>
        <v>170210</v>
      </c>
      <c r="C317" s="94" t="s">
        <v>428</v>
      </c>
      <c r="D317" s="38">
        <v>170210137</v>
      </c>
      <c r="E317" s="34">
        <v>1</v>
      </c>
      <c r="F317" s="38" t="s">
        <v>474</v>
      </c>
      <c r="G317" s="38">
        <v>1</v>
      </c>
      <c r="H317" s="96">
        <v>176</v>
      </c>
      <c r="I317" s="96">
        <v>93.5</v>
      </c>
      <c r="J317" s="38">
        <v>3810</v>
      </c>
      <c r="K317" s="96">
        <v>5.5</v>
      </c>
      <c r="L317" s="96">
        <v>8.5</v>
      </c>
      <c r="M317" s="38">
        <v>185</v>
      </c>
      <c r="N317" s="38">
        <v>0</v>
      </c>
      <c r="O317" s="94"/>
      <c r="P317" s="97" t="s">
        <v>475</v>
      </c>
      <c r="Q317" s="97"/>
      <c r="R317" s="31"/>
      <c r="S317" s="31"/>
    </row>
    <row r="318" ht="14.25" customHeight="1" spans="1:19">
      <c r="A318" s="87">
        <v>42</v>
      </c>
      <c r="B318" s="87" t="str">
        <f t="shared" si="4"/>
        <v>170210</v>
      </c>
      <c r="C318" s="94" t="s">
        <v>428</v>
      </c>
      <c r="D318" s="38">
        <v>170210138</v>
      </c>
      <c r="E318" s="34">
        <v>1</v>
      </c>
      <c r="F318" s="38" t="s">
        <v>476</v>
      </c>
      <c r="G318" s="38">
        <v>1</v>
      </c>
      <c r="H318" s="96">
        <v>170.5</v>
      </c>
      <c r="I318" s="96">
        <v>59.6</v>
      </c>
      <c r="J318" s="38">
        <v>4475</v>
      </c>
      <c r="K318" s="96">
        <v>23.3</v>
      </c>
      <c r="L318" s="96">
        <v>7.4</v>
      </c>
      <c r="M318" s="38">
        <v>220</v>
      </c>
      <c r="N318" s="38">
        <v>10</v>
      </c>
      <c r="O318" s="94"/>
      <c r="P318" s="97" t="s">
        <v>477</v>
      </c>
      <c r="Q318" s="97"/>
      <c r="R318" s="31"/>
      <c r="S318" s="31"/>
    </row>
    <row r="319" ht="14.25" customHeight="1" spans="1:19">
      <c r="A319" s="87">
        <v>42</v>
      </c>
      <c r="B319" s="87" t="str">
        <f t="shared" si="4"/>
        <v>170210</v>
      </c>
      <c r="C319" s="94" t="s">
        <v>428</v>
      </c>
      <c r="D319" s="38">
        <v>170210139</v>
      </c>
      <c r="E319" s="34">
        <v>1</v>
      </c>
      <c r="F319" s="38" t="s">
        <v>478</v>
      </c>
      <c r="G319" s="38">
        <v>1</v>
      </c>
      <c r="H319" s="96">
        <v>187.5</v>
      </c>
      <c r="I319" s="96">
        <v>64.6</v>
      </c>
      <c r="J319" s="38">
        <v>5027</v>
      </c>
      <c r="K319" s="96">
        <v>13.7</v>
      </c>
      <c r="L319" s="96">
        <v>7.6</v>
      </c>
      <c r="M319" s="38">
        <v>240</v>
      </c>
      <c r="N319" s="38">
        <v>11</v>
      </c>
      <c r="O319" s="94"/>
      <c r="P319" s="97" t="s">
        <v>163</v>
      </c>
      <c r="Q319" s="97"/>
      <c r="R319" s="31"/>
      <c r="S319" s="31"/>
    </row>
    <row r="320" ht="14.25" customHeight="1" spans="1:19">
      <c r="A320" s="87">
        <v>42</v>
      </c>
      <c r="B320" s="87" t="str">
        <f t="shared" si="4"/>
        <v>170210</v>
      </c>
      <c r="C320" s="94" t="s">
        <v>428</v>
      </c>
      <c r="D320" s="38">
        <v>170210142</v>
      </c>
      <c r="E320" s="34">
        <v>1</v>
      </c>
      <c r="F320" s="38" t="s">
        <v>479</v>
      </c>
      <c r="G320" s="38">
        <v>1</v>
      </c>
      <c r="H320" s="96">
        <v>178.5</v>
      </c>
      <c r="I320" s="96">
        <v>83.2</v>
      </c>
      <c r="J320" s="38">
        <v>4164</v>
      </c>
      <c r="K320" s="96">
        <v>5</v>
      </c>
      <c r="L320" s="96">
        <v>7.9</v>
      </c>
      <c r="M320" s="38">
        <v>200</v>
      </c>
      <c r="N320" s="38">
        <v>2</v>
      </c>
      <c r="O320" s="94"/>
      <c r="P320" s="97" t="s">
        <v>480</v>
      </c>
      <c r="Q320" s="97"/>
      <c r="R320" s="31"/>
      <c r="S320" s="31"/>
    </row>
    <row r="321" ht="14.25" customHeight="1" spans="1:19">
      <c r="A321" s="87">
        <v>42</v>
      </c>
      <c r="B321" s="87" t="str">
        <f t="shared" si="4"/>
        <v>170210</v>
      </c>
      <c r="C321" s="94" t="s">
        <v>428</v>
      </c>
      <c r="D321" s="38">
        <v>170210145</v>
      </c>
      <c r="E321" s="34">
        <v>1</v>
      </c>
      <c r="F321" s="38" t="s">
        <v>481</v>
      </c>
      <c r="G321" s="38">
        <v>1</v>
      </c>
      <c r="H321" s="96">
        <v>168.5</v>
      </c>
      <c r="I321" s="96">
        <v>65.7</v>
      </c>
      <c r="J321" s="38">
        <v>3422</v>
      </c>
      <c r="K321" s="96">
        <v>19.4</v>
      </c>
      <c r="L321" s="96">
        <v>8.2</v>
      </c>
      <c r="M321" s="38">
        <v>215</v>
      </c>
      <c r="N321" s="38">
        <v>1</v>
      </c>
      <c r="O321" s="94"/>
      <c r="P321" s="97" t="s">
        <v>322</v>
      </c>
      <c r="Q321" s="97"/>
      <c r="R321" s="31"/>
      <c r="S321" s="31"/>
    </row>
    <row r="322" ht="14.25" customHeight="1" spans="1:19">
      <c r="A322" s="87">
        <v>42</v>
      </c>
      <c r="B322" s="87" t="str">
        <f t="shared" si="4"/>
        <v>170210</v>
      </c>
      <c r="C322" s="94" t="s">
        <v>428</v>
      </c>
      <c r="D322" s="38">
        <v>170210148</v>
      </c>
      <c r="E322" s="34">
        <v>1</v>
      </c>
      <c r="F322" s="38" t="s">
        <v>482</v>
      </c>
      <c r="G322" s="38">
        <v>1</v>
      </c>
      <c r="H322" s="96">
        <v>175.5</v>
      </c>
      <c r="I322" s="96">
        <v>81.4</v>
      </c>
      <c r="J322" s="38">
        <v>4817</v>
      </c>
      <c r="K322" s="96">
        <v>7.5</v>
      </c>
      <c r="L322" s="96">
        <v>7.6</v>
      </c>
      <c r="M322" s="38">
        <v>200</v>
      </c>
      <c r="N322" s="38">
        <v>0</v>
      </c>
      <c r="O322" s="94"/>
      <c r="P322" s="97" t="s">
        <v>304</v>
      </c>
      <c r="Q322" s="97"/>
      <c r="R322" s="31"/>
      <c r="S322" s="31"/>
    </row>
    <row r="323" ht="14.25" customHeight="1" spans="1:19">
      <c r="A323" s="87">
        <v>42</v>
      </c>
      <c r="B323" s="87" t="str">
        <f t="shared" ref="B323:B365" si="5">LEFT(D323,6)</f>
        <v>170210</v>
      </c>
      <c r="C323" s="94" t="s">
        <v>428</v>
      </c>
      <c r="D323" s="38">
        <v>170210152</v>
      </c>
      <c r="E323" s="34">
        <v>1</v>
      </c>
      <c r="F323" s="38" t="s">
        <v>483</v>
      </c>
      <c r="G323" s="38">
        <v>1</v>
      </c>
      <c r="H323" s="96">
        <v>170</v>
      </c>
      <c r="I323" s="96">
        <v>60</v>
      </c>
      <c r="J323" s="38">
        <v>4400</v>
      </c>
      <c r="K323" s="96">
        <v>15</v>
      </c>
      <c r="L323" s="96">
        <v>7.7</v>
      </c>
      <c r="M323" s="38">
        <v>230</v>
      </c>
      <c r="N323" s="38">
        <v>4</v>
      </c>
      <c r="O323" s="94"/>
      <c r="P323" s="97" t="s">
        <v>31</v>
      </c>
      <c r="Q323" s="97"/>
      <c r="R323" s="31"/>
      <c r="S323" s="31"/>
    </row>
    <row r="324" ht="14.25" customHeight="1" spans="1:19">
      <c r="A324" s="87">
        <v>42</v>
      </c>
      <c r="B324" s="87" t="str">
        <f t="shared" si="5"/>
        <v>170210</v>
      </c>
      <c r="C324" s="94" t="s">
        <v>428</v>
      </c>
      <c r="D324" s="38">
        <v>170210158</v>
      </c>
      <c r="E324" s="38">
        <v>1</v>
      </c>
      <c r="F324" s="38" t="s">
        <v>484</v>
      </c>
      <c r="G324" s="38">
        <v>1</v>
      </c>
      <c r="H324" s="96">
        <v>183.5</v>
      </c>
      <c r="I324" s="96">
        <v>79.4</v>
      </c>
      <c r="J324" s="38">
        <v>4386</v>
      </c>
      <c r="K324" s="96">
        <v>6.5</v>
      </c>
      <c r="L324" s="96">
        <v>7.8</v>
      </c>
      <c r="M324" s="38">
        <v>185</v>
      </c>
      <c r="N324" s="38">
        <v>0</v>
      </c>
      <c r="O324" s="94"/>
      <c r="P324" s="97" t="s">
        <v>436</v>
      </c>
      <c r="Q324" s="97"/>
      <c r="R324" s="31"/>
      <c r="S324" s="31"/>
    </row>
    <row r="325" ht="14.25" customHeight="1" spans="1:17">
      <c r="A325" s="87">
        <v>42</v>
      </c>
      <c r="B325" s="87" t="str">
        <f t="shared" si="5"/>
        <v>170210</v>
      </c>
      <c r="C325" s="94" t="s">
        <v>485</v>
      </c>
      <c r="D325" s="94">
        <v>170210475</v>
      </c>
      <c r="E325" s="38">
        <v>1</v>
      </c>
      <c r="F325" s="94" t="s">
        <v>486</v>
      </c>
      <c r="G325" s="94">
        <v>2</v>
      </c>
      <c r="H325" s="99">
        <v>158</v>
      </c>
      <c r="I325" s="99">
        <v>59</v>
      </c>
      <c r="J325" s="94">
        <v>2909</v>
      </c>
      <c r="K325" s="99">
        <v>15.1</v>
      </c>
      <c r="L325" s="99">
        <v>10.5</v>
      </c>
      <c r="M325" s="94">
        <v>158</v>
      </c>
      <c r="N325" s="94"/>
      <c r="O325" s="94">
        <v>31</v>
      </c>
      <c r="P325" s="103"/>
      <c r="Q325" s="103" t="s">
        <v>487</v>
      </c>
    </row>
    <row r="326" ht="14.25" customHeight="1" spans="1:17">
      <c r="A326" s="87">
        <v>42</v>
      </c>
      <c r="B326" s="87" t="str">
        <f t="shared" si="5"/>
        <v>170210</v>
      </c>
      <c r="C326" s="94" t="s">
        <v>485</v>
      </c>
      <c r="D326" s="94">
        <v>170210461</v>
      </c>
      <c r="E326" s="38">
        <v>1</v>
      </c>
      <c r="F326" s="94" t="s">
        <v>488</v>
      </c>
      <c r="G326" s="94">
        <v>1</v>
      </c>
      <c r="H326" s="99">
        <v>178</v>
      </c>
      <c r="I326" s="99">
        <v>66.6</v>
      </c>
      <c r="J326" s="94">
        <v>5196</v>
      </c>
      <c r="K326" s="99">
        <v>4.1</v>
      </c>
      <c r="L326" s="99">
        <v>6.4</v>
      </c>
      <c r="M326" s="94">
        <v>255</v>
      </c>
      <c r="N326" s="94">
        <v>11</v>
      </c>
      <c r="O326" s="94"/>
      <c r="P326" s="103" t="s">
        <v>302</v>
      </c>
      <c r="Q326" s="103"/>
    </row>
    <row r="327" ht="14.25" customHeight="1" spans="1:17">
      <c r="A327" s="87">
        <v>42</v>
      </c>
      <c r="B327" s="87" t="str">
        <f t="shared" si="5"/>
        <v>170210</v>
      </c>
      <c r="C327" s="94" t="s">
        <v>485</v>
      </c>
      <c r="D327" s="94">
        <v>170210462</v>
      </c>
      <c r="E327" s="38">
        <v>1</v>
      </c>
      <c r="F327" s="94" t="s">
        <v>489</v>
      </c>
      <c r="G327" s="94">
        <v>1</v>
      </c>
      <c r="H327" s="99">
        <v>176</v>
      </c>
      <c r="I327" s="99">
        <v>61.2</v>
      </c>
      <c r="J327" s="94">
        <v>3379</v>
      </c>
      <c r="K327" s="99">
        <v>14.9</v>
      </c>
      <c r="L327" s="99">
        <v>6.7</v>
      </c>
      <c r="M327" s="94">
        <v>245</v>
      </c>
      <c r="N327" s="94">
        <v>7</v>
      </c>
      <c r="O327" s="94"/>
      <c r="P327" s="103" t="s">
        <v>175</v>
      </c>
      <c r="Q327" s="103"/>
    </row>
    <row r="328" ht="14.25" customHeight="1" spans="1:17">
      <c r="A328" s="87">
        <v>42</v>
      </c>
      <c r="B328" s="87" t="str">
        <f t="shared" si="5"/>
        <v>170210</v>
      </c>
      <c r="C328" s="94" t="s">
        <v>485</v>
      </c>
      <c r="D328" s="94">
        <v>170210474</v>
      </c>
      <c r="E328" s="38">
        <v>1</v>
      </c>
      <c r="F328" s="94" t="s">
        <v>490</v>
      </c>
      <c r="G328" s="94">
        <v>1</v>
      </c>
      <c r="H328" s="99">
        <v>181</v>
      </c>
      <c r="I328" s="99">
        <v>83.3</v>
      </c>
      <c r="J328" s="94">
        <v>4743</v>
      </c>
      <c r="K328" s="99">
        <v>14.9</v>
      </c>
      <c r="L328" s="99">
        <v>8.4</v>
      </c>
      <c r="M328" s="94">
        <v>220</v>
      </c>
      <c r="N328" s="94">
        <v>1</v>
      </c>
      <c r="O328" s="94"/>
      <c r="P328" s="103" t="s">
        <v>419</v>
      </c>
      <c r="Q328" s="103"/>
    </row>
    <row r="329" ht="14.25" customHeight="1" spans="1:17">
      <c r="A329" s="87">
        <v>42</v>
      </c>
      <c r="B329" s="87" t="str">
        <f t="shared" si="5"/>
        <v>170210</v>
      </c>
      <c r="C329" s="94" t="s">
        <v>485</v>
      </c>
      <c r="D329" s="94">
        <v>170210357</v>
      </c>
      <c r="E329" s="38">
        <v>1</v>
      </c>
      <c r="F329" s="94" t="s">
        <v>491</v>
      </c>
      <c r="G329" s="94">
        <v>1</v>
      </c>
      <c r="H329" s="99">
        <v>179.5</v>
      </c>
      <c r="I329" s="99">
        <v>84.6</v>
      </c>
      <c r="J329" s="94">
        <v>4494</v>
      </c>
      <c r="K329" s="99">
        <v>21.6</v>
      </c>
      <c r="L329" s="99">
        <v>7.7</v>
      </c>
      <c r="M329" s="94">
        <v>225</v>
      </c>
      <c r="N329" s="94">
        <v>5</v>
      </c>
      <c r="O329" s="94"/>
      <c r="P329" s="103" t="s">
        <v>69</v>
      </c>
      <c r="Q329" s="103"/>
    </row>
    <row r="330" ht="14.25" customHeight="1" spans="1:17">
      <c r="A330" s="87">
        <v>42</v>
      </c>
      <c r="B330" s="87" t="str">
        <f t="shared" si="5"/>
        <v>170210</v>
      </c>
      <c r="C330" s="94" t="s">
        <v>485</v>
      </c>
      <c r="D330" s="94">
        <v>170210361</v>
      </c>
      <c r="E330" s="38">
        <v>1</v>
      </c>
      <c r="F330" s="94" t="s">
        <v>492</v>
      </c>
      <c r="G330" s="94">
        <v>1</v>
      </c>
      <c r="H330" s="99">
        <v>173</v>
      </c>
      <c r="I330" s="99">
        <v>72</v>
      </c>
      <c r="J330" s="94">
        <v>4427</v>
      </c>
      <c r="K330" s="99">
        <v>12.1</v>
      </c>
      <c r="L330" s="99">
        <v>6.9</v>
      </c>
      <c r="M330" s="94">
        <v>220</v>
      </c>
      <c r="N330" s="94">
        <v>1</v>
      </c>
      <c r="O330" s="94"/>
      <c r="P330" s="103" t="s">
        <v>113</v>
      </c>
      <c r="Q330" s="103"/>
    </row>
    <row r="331" ht="14.25" customHeight="1" spans="1:17">
      <c r="A331" s="87">
        <v>42</v>
      </c>
      <c r="B331" s="87" t="str">
        <f t="shared" si="5"/>
        <v>170210</v>
      </c>
      <c r="C331" s="94" t="s">
        <v>485</v>
      </c>
      <c r="D331" s="94">
        <v>170210367</v>
      </c>
      <c r="E331" s="38">
        <v>1</v>
      </c>
      <c r="F331" s="94" t="s">
        <v>493</v>
      </c>
      <c r="G331" s="94">
        <v>1</v>
      </c>
      <c r="H331" s="99">
        <v>190.3</v>
      </c>
      <c r="I331" s="99">
        <v>81</v>
      </c>
      <c r="J331" s="94">
        <v>5010</v>
      </c>
      <c r="K331" s="99">
        <v>6.6</v>
      </c>
      <c r="L331" s="99">
        <v>7.1</v>
      </c>
      <c r="M331" s="94">
        <v>255</v>
      </c>
      <c r="N331" s="94">
        <v>4</v>
      </c>
      <c r="O331" s="94"/>
      <c r="P331" s="103" t="s">
        <v>126</v>
      </c>
      <c r="Q331" s="103"/>
    </row>
    <row r="332" ht="14.25" customHeight="1" spans="1:17">
      <c r="A332" s="87">
        <v>42</v>
      </c>
      <c r="B332" s="87" t="str">
        <f t="shared" si="5"/>
        <v>170210</v>
      </c>
      <c r="C332" s="94" t="s">
        <v>485</v>
      </c>
      <c r="D332" s="94">
        <v>170210371</v>
      </c>
      <c r="E332" s="38">
        <v>1</v>
      </c>
      <c r="F332" s="94" t="s">
        <v>494</v>
      </c>
      <c r="G332" s="94">
        <v>1</v>
      </c>
      <c r="H332" s="99">
        <v>174</v>
      </c>
      <c r="I332" s="99">
        <v>80.4</v>
      </c>
      <c r="J332" s="94">
        <v>5403</v>
      </c>
      <c r="K332" s="99">
        <v>11.5</v>
      </c>
      <c r="L332" s="99">
        <v>7.6</v>
      </c>
      <c r="M332" s="94">
        <v>220</v>
      </c>
      <c r="N332" s="94">
        <v>4</v>
      </c>
      <c r="O332" s="94"/>
      <c r="P332" s="103" t="s">
        <v>495</v>
      </c>
      <c r="Q332" s="103"/>
    </row>
    <row r="333" ht="14.25" customHeight="1" spans="1:17">
      <c r="A333" s="87">
        <v>42</v>
      </c>
      <c r="B333" s="87" t="str">
        <f t="shared" si="5"/>
        <v>170210</v>
      </c>
      <c r="C333" s="94" t="s">
        <v>485</v>
      </c>
      <c r="D333" s="94">
        <v>170210401</v>
      </c>
      <c r="E333" s="38">
        <v>1</v>
      </c>
      <c r="F333" s="94" t="s">
        <v>496</v>
      </c>
      <c r="G333" s="94">
        <v>2</v>
      </c>
      <c r="H333" s="99">
        <v>160.5</v>
      </c>
      <c r="I333" s="99">
        <v>49</v>
      </c>
      <c r="J333" s="94">
        <v>3290</v>
      </c>
      <c r="K333" s="99">
        <v>20</v>
      </c>
      <c r="L333" s="99">
        <v>9.8</v>
      </c>
      <c r="M333" s="94">
        <v>195</v>
      </c>
      <c r="N333" s="94"/>
      <c r="O333" s="94">
        <v>44</v>
      </c>
      <c r="P333" s="103"/>
      <c r="Q333" s="103" t="s">
        <v>96</v>
      </c>
    </row>
    <row r="334" ht="14.25" customHeight="1" spans="1:17">
      <c r="A334" s="87">
        <v>42</v>
      </c>
      <c r="B334" s="87" t="str">
        <f t="shared" si="5"/>
        <v>170210</v>
      </c>
      <c r="C334" s="94" t="s">
        <v>485</v>
      </c>
      <c r="D334" s="94">
        <v>170210404</v>
      </c>
      <c r="E334" s="38">
        <v>1</v>
      </c>
      <c r="F334" s="94" t="s">
        <v>497</v>
      </c>
      <c r="G334" s="94">
        <v>2</v>
      </c>
      <c r="H334" s="99">
        <v>169</v>
      </c>
      <c r="I334" s="99">
        <v>56.5</v>
      </c>
      <c r="J334" s="94">
        <v>2732</v>
      </c>
      <c r="K334" s="99">
        <v>30.2</v>
      </c>
      <c r="L334" s="99">
        <v>10</v>
      </c>
      <c r="M334" s="94">
        <v>165</v>
      </c>
      <c r="N334" s="94"/>
      <c r="O334" s="94">
        <v>39</v>
      </c>
      <c r="P334" s="103"/>
      <c r="Q334" s="103" t="s">
        <v>175</v>
      </c>
    </row>
    <row r="335" ht="14.25" customHeight="1" spans="1:17">
      <c r="A335" s="87">
        <v>42</v>
      </c>
      <c r="B335" s="87" t="str">
        <f t="shared" si="5"/>
        <v>170210</v>
      </c>
      <c r="C335" s="94" t="s">
        <v>485</v>
      </c>
      <c r="D335" s="94">
        <v>170210409</v>
      </c>
      <c r="E335" s="38">
        <v>1</v>
      </c>
      <c r="F335" s="94" t="s">
        <v>498</v>
      </c>
      <c r="G335" s="94">
        <v>2</v>
      </c>
      <c r="H335" s="99">
        <v>155.5</v>
      </c>
      <c r="I335" s="99">
        <v>42</v>
      </c>
      <c r="J335" s="94">
        <v>2497</v>
      </c>
      <c r="K335" s="99">
        <v>25.2</v>
      </c>
      <c r="L335" s="99">
        <v>9.8</v>
      </c>
      <c r="M335" s="94">
        <v>183</v>
      </c>
      <c r="N335" s="94"/>
      <c r="O335" s="94">
        <v>41</v>
      </c>
      <c r="P335" s="103"/>
      <c r="Q335" s="103" t="s">
        <v>69</v>
      </c>
    </row>
    <row r="336" ht="14.25" customHeight="1" spans="1:17">
      <c r="A336" s="87">
        <v>42</v>
      </c>
      <c r="B336" s="87" t="str">
        <f t="shared" si="5"/>
        <v>170210</v>
      </c>
      <c r="C336" s="94" t="s">
        <v>485</v>
      </c>
      <c r="D336" s="94">
        <v>170210412</v>
      </c>
      <c r="E336" s="38">
        <v>1</v>
      </c>
      <c r="F336" s="94" t="s">
        <v>499</v>
      </c>
      <c r="G336" s="94">
        <v>2</v>
      </c>
      <c r="H336" s="99">
        <v>158.4</v>
      </c>
      <c r="I336" s="99">
        <v>45.5</v>
      </c>
      <c r="J336" s="94">
        <v>2501</v>
      </c>
      <c r="K336" s="99">
        <v>18.2</v>
      </c>
      <c r="L336" s="99">
        <v>9.5</v>
      </c>
      <c r="M336" s="94">
        <v>158</v>
      </c>
      <c r="N336" s="94"/>
      <c r="O336" s="94">
        <v>31</v>
      </c>
      <c r="P336" s="103"/>
      <c r="Q336" s="103" t="s">
        <v>500</v>
      </c>
    </row>
    <row r="337" ht="14.25" customHeight="1" spans="1:17">
      <c r="A337" s="87">
        <v>42</v>
      </c>
      <c r="B337" s="87" t="str">
        <f t="shared" si="5"/>
        <v>170210</v>
      </c>
      <c r="C337" s="94" t="s">
        <v>485</v>
      </c>
      <c r="D337" s="94">
        <v>170210425</v>
      </c>
      <c r="E337" s="38">
        <v>1</v>
      </c>
      <c r="F337" s="94" t="s">
        <v>501</v>
      </c>
      <c r="G337" s="94">
        <v>1</v>
      </c>
      <c r="H337" s="99">
        <v>174</v>
      </c>
      <c r="I337" s="99">
        <v>60.2</v>
      </c>
      <c r="J337" s="94">
        <v>5600</v>
      </c>
      <c r="K337" s="99">
        <v>9.2</v>
      </c>
      <c r="L337" s="99">
        <v>9</v>
      </c>
      <c r="M337" s="94">
        <v>230</v>
      </c>
      <c r="N337" s="94">
        <v>3</v>
      </c>
      <c r="O337" s="94"/>
      <c r="P337" s="103" t="s">
        <v>502</v>
      </c>
      <c r="Q337" s="103"/>
    </row>
    <row r="338" ht="14.25" customHeight="1" spans="1:17">
      <c r="A338" s="87">
        <v>42</v>
      </c>
      <c r="B338" s="87" t="str">
        <f t="shared" si="5"/>
        <v>170210</v>
      </c>
      <c r="C338" s="94" t="s">
        <v>485</v>
      </c>
      <c r="D338" s="94">
        <v>170210429</v>
      </c>
      <c r="E338" s="38">
        <v>1</v>
      </c>
      <c r="F338" s="94" t="s">
        <v>503</v>
      </c>
      <c r="G338" s="94">
        <v>1</v>
      </c>
      <c r="H338" s="99">
        <v>168.8</v>
      </c>
      <c r="I338" s="99">
        <v>59</v>
      </c>
      <c r="J338" s="94">
        <v>4504</v>
      </c>
      <c r="K338" s="99">
        <v>15.2</v>
      </c>
      <c r="L338" s="99">
        <v>8.4</v>
      </c>
      <c r="M338" s="94">
        <v>220</v>
      </c>
      <c r="N338" s="94">
        <v>2</v>
      </c>
      <c r="O338" s="94"/>
      <c r="P338" s="103" t="s">
        <v>477</v>
      </c>
      <c r="Q338" s="103"/>
    </row>
    <row r="339" ht="14.25" customHeight="1" spans="1:17">
      <c r="A339" s="87">
        <v>42</v>
      </c>
      <c r="B339" s="87" t="str">
        <f t="shared" si="5"/>
        <v>170210</v>
      </c>
      <c r="C339" s="94" t="s">
        <v>485</v>
      </c>
      <c r="D339" s="94">
        <v>170210436</v>
      </c>
      <c r="E339" s="38">
        <v>1</v>
      </c>
      <c r="F339" s="94" t="s">
        <v>504</v>
      </c>
      <c r="G339" s="94">
        <v>1</v>
      </c>
      <c r="H339" s="99">
        <v>173</v>
      </c>
      <c r="I339" s="99">
        <v>58.7</v>
      </c>
      <c r="J339" s="94">
        <v>5200</v>
      </c>
      <c r="K339" s="99">
        <v>10.3</v>
      </c>
      <c r="L339" s="99">
        <v>7.3</v>
      </c>
      <c r="M339" s="94">
        <v>225</v>
      </c>
      <c r="N339" s="94">
        <v>5</v>
      </c>
      <c r="O339" s="94"/>
      <c r="P339" s="103" t="s">
        <v>83</v>
      </c>
      <c r="Q339" s="103"/>
    </row>
    <row r="340" ht="14.25" customHeight="1" spans="1:17">
      <c r="A340" s="87">
        <v>42</v>
      </c>
      <c r="B340" s="87" t="str">
        <f t="shared" si="5"/>
        <v>170210</v>
      </c>
      <c r="C340" s="94" t="s">
        <v>485</v>
      </c>
      <c r="D340" s="94">
        <v>170210440</v>
      </c>
      <c r="E340" s="38">
        <v>1</v>
      </c>
      <c r="F340" s="94" t="s">
        <v>505</v>
      </c>
      <c r="G340" s="94">
        <v>1</v>
      </c>
      <c r="H340" s="99">
        <v>185.5</v>
      </c>
      <c r="I340" s="99">
        <v>99</v>
      </c>
      <c r="J340" s="94">
        <v>4807</v>
      </c>
      <c r="K340" s="99">
        <v>19.2</v>
      </c>
      <c r="L340" s="99">
        <v>10.6</v>
      </c>
      <c r="M340" s="94">
        <v>195</v>
      </c>
      <c r="N340" s="94">
        <v>0</v>
      </c>
      <c r="O340" s="94"/>
      <c r="P340" s="103" t="s">
        <v>506</v>
      </c>
      <c r="Q340" s="103"/>
    </row>
    <row r="341" ht="14.25" customHeight="1" spans="1:17">
      <c r="A341" s="87">
        <v>42</v>
      </c>
      <c r="B341" s="87" t="str">
        <f t="shared" si="5"/>
        <v>170210</v>
      </c>
      <c r="C341" s="94" t="s">
        <v>485</v>
      </c>
      <c r="D341" s="94">
        <v>170210443</v>
      </c>
      <c r="E341" s="38">
        <v>1</v>
      </c>
      <c r="F341" s="94" t="s">
        <v>507</v>
      </c>
      <c r="G341" s="94">
        <v>1</v>
      </c>
      <c r="H341" s="99">
        <v>178.8</v>
      </c>
      <c r="I341" s="99">
        <v>70</v>
      </c>
      <c r="J341" s="94">
        <v>5200</v>
      </c>
      <c r="K341" s="99">
        <v>22.3</v>
      </c>
      <c r="L341" s="99">
        <v>7.8</v>
      </c>
      <c r="M341" s="94">
        <v>250</v>
      </c>
      <c r="N341" s="94">
        <v>3</v>
      </c>
      <c r="O341" s="94"/>
      <c r="P341" s="103" t="s">
        <v>477</v>
      </c>
      <c r="Q341" s="103"/>
    </row>
    <row r="342" ht="14.25" customHeight="1" spans="1:17">
      <c r="A342" s="87">
        <v>42</v>
      </c>
      <c r="B342" s="87" t="str">
        <f t="shared" si="5"/>
        <v>170210</v>
      </c>
      <c r="C342" s="94" t="s">
        <v>485</v>
      </c>
      <c r="D342" s="94">
        <v>17021044</v>
      </c>
      <c r="E342" s="38">
        <v>1</v>
      </c>
      <c r="F342" s="94" t="s">
        <v>508</v>
      </c>
      <c r="G342" s="94">
        <v>1</v>
      </c>
      <c r="H342" s="99">
        <v>185.3</v>
      </c>
      <c r="I342" s="99">
        <v>88</v>
      </c>
      <c r="J342" s="94">
        <v>5240</v>
      </c>
      <c r="K342" s="99">
        <v>22.5</v>
      </c>
      <c r="L342" s="99">
        <v>7.9</v>
      </c>
      <c r="M342" s="94">
        <v>224</v>
      </c>
      <c r="N342" s="94">
        <v>1</v>
      </c>
      <c r="O342" s="94"/>
      <c r="P342" s="103" t="s">
        <v>477</v>
      </c>
      <c r="Q342" s="103"/>
    </row>
    <row r="343" ht="14.25" customHeight="1" spans="1:17">
      <c r="A343" s="87">
        <v>42</v>
      </c>
      <c r="B343" s="87" t="str">
        <f t="shared" si="5"/>
        <v>170210</v>
      </c>
      <c r="C343" s="94" t="s">
        <v>485</v>
      </c>
      <c r="D343" s="94">
        <v>170210445</v>
      </c>
      <c r="E343" s="38">
        <v>1</v>
      </c>
      <c r="F343" s="94" t="s">
        <v>509</v>
      </c>
      <c r="G343" s="94">
        <v>1</v>
      </c>
      <c r="H343" s="99">
        <v>181.3</v>
      </c>
      <c r="I343" s="99">
        <v>67.2</v>
      </c>
      <c r="J343" s="94">
        <v>4500</v>
      </c>
      <c r="K343" s="99">
        <v>11.8</v>
      </c>
      <c r="L343" s="99">
        <v>7.7</v>
      </c>
      <c r="M343" s="94">
        <v>231</v>
      </c>
      <c r="N343" s="94">
        <v>4</v>
      </c>
      <c r="O343" s="94"/>
      <c r="P343" s="103" t="s">
        <v>40</v>
      </c>
      <c r="Q343" s="103"/>
    </row>
    <row r="344" ht="14.25" customHeight="1" spans="1:17">
      <c r="A344" s="87">
        <v>42</v>
      </c>
      <c r="B344" s="87" t="str">
        <f t="shared" si="5"/>
        <v>170210</v>
      </c>
      <c r="C344" s="94" t="s">
        <v>485</v>
      </c>
      <c r="D344" s="94">
        <v>170210449</v>
      </c>
      <c r="E344" s="38">
        <v>1</v>
      </c>
      <c r="F344" s="94" t="s">
        <v>510</v>
      </c>
      <c r="G344" s="94">
        <v>1</v>
      </c>
      <c r="H344" s="99">
        <v>186.1</v>
      </c>
      <c r="I344" s="99">
        <v>80</v>
      </c>
      <c r="J344" s="94">
        <v>5050</v>
      </c>
      <c r="K344" s="99">
        <v>-4.4</v>
      </c>
      <c r="L344" s="99">
        <v>7.4</v>
      </c>
      <c r="M344" s="94">
        <v>254</v>
      </c>
      <c r="N344" s="94">
        <v>4</v>
      </c>
      <c r="O344" s="94"/>
      <c r="P344" s="103" t="s">
        <v>511</v>
      </c>
      <c r="Q344" s="103"/>
    </row>
    <row r="345" ht="14.25" customHeight="1" spans="1:17">
      <c r="A345" s="87">
        <v>42</v>
      </c>
      <c r="B345" s="87" t="str">
        <f t="shared" si="5"/>
        <v>170210</v>
      </c>
      <c r="C345" s="94" t="s">
        <v>485</v>
      </c>
      <c r="D345" s="94">
        <v>170210303</v>
      </c>
      <c r="E345" s="38">
        <v>1</v>
      </c>
      <c r="F345" s="94" t="s">
        <v>512</v>
      </c>
      <c r="G345" s="94">
        <v>2</v>
      </c>
      <c r="H345" s="99">
        <v>171</v>
      </c>
      <c r="I345" s="99">
        <v>65</v>
      </c>
      <c r="J345" s="94">
        <v>4212</v>
      </c>
      <c r="K345" s="99">
        <v>13.4</v>
      </c>
      <c r="L345" s="99">
        <v>9.5</v>
      </c>
      <c r="M345" s="94">
        <v>161</v>
      </c>
      <c r="N345" s="94"/>
      <c r="O345" s="94">
        <v>41</v>
      </c>
      <c r="P345" s="103"/>
      <c r="Q345" s="103" t="s">
        <v>29</v>
      </c>
    </row>
    <row r="346" ht="14.25" customHeight="1" spans="1:17">
      <c r="A346" s="87">
        <v>42</v>
      </c>
      <c r="B346" s="87" t="str">
        <f t="shared" si="5"/>
        <v>170210</v>
      </c>
      <c r="C346" s="94" t="s">
        <v>485</v>
      </c>
      <c r="D346" s="94">
        <v>170210304</v>
      </c>
      <c r="E346" s="38">
        <v>1</v>
      </c>
      <c r="F346" s="94" t="s">
        <v>513</v>
      </c>
      <c r="G346" s="94">
        <v>2</v>
      </c>
      <c r="H346" s="99">
        <v>170.2</v>
      </c>
      <c r="I346" s="99">
        <v>55</v>
      </c>
      <c r="J346" s="94">
        <v>3340</v>
      </c>
      <c r="K346" s="99">
        <v>22.1</v>
      </c>
      <c r="L346" s="99">
        <v>8.4</v>
      </c>
      <c r="M346" s="94">
        <v>155</v>
      </c>
      <c r="N346" s="94"/>
      <c r="O346" s="94">
        <v>46</v>
      </c>
      <c r="P346" s="103"/>
      <c r="Q346" s="103" t="s">
        <v>209</v>
      </c>
    </row>
    <row r="347" ht="14.25" customHeight="1" spans="1:17">
      <c r="A347" s="87">
        <v>42</v>
      </c>
      <c r="B347" s="87" t="str">
        <f t="shared" si="5"/>
        <v>170210</v>
      </c>
      <c r="C347" s="94" t="s">
        <v>485</v>
      </c>
      <c r="D347" s="94">
        <v>170210305</v>
      </c>
      <c r="E347" s="38">
        <v>1</v>
      </c>
      <c r="F347" s="94" t="s">
        <v>514</v>
      </c>
      <c r="G347" s="94">
        <v>2</v>
      </c>
      <c r="H347" s="99">
        <v>167.5</v>
      </c>
      <c r="I347" s="99">
        <v>63.5</v>
      </c>
      <c r="J347" s="94">
        <v>2600</v>
      </c>
      <c r="K347" s="99">
        <v>26</v>
      </c>
      <c r="L347" s="99">
        <v>9.6</v>
      </c>
      <c r="M347" s="94">
        <v>160</v>
      </c>
      <c r="N347" s="94"/>
      <c r="O347" s="94">
        <v>50</v>
      </c>
      <c r="P347" s="103"/>
      <c r="Q347" s="103" t="s">
        <v>98</v>
      </c>
    </row>
    <row r="348" ht="14.25" customHeight="1" spans="1:17">
      <c r="A348" s="87">
        <v>42</v>
      </c>
      <c r="B348" s="87" t="str">
        <f t="shared" si="5"/>
        <v>170210</v>
      </c>
      <c r="C348" s="94" t="s">
        <v>485</v>
      </c>
      <c r="D348" s="94">
        <v>170210306</v>
      </c>
      <c r="E348" s="38">
        <v>1</v>
      </c>
      <c r="F348" s="94" t="s">
        <v>515</v>
      </c>
      <c r="G348" s="94">
        <v>2</v>
      </c>
      <c r="H348" s="99">
        <v>164</v>
      </c>
      <c r="I348" s="99">
        <v>42</v>
      </c>
      <c r="J348" s="94">
        <v>2250</v>
      </c>
      <c r="K348" s="99">
        <v>17.5</v>
      </c>
      <c r="L348" s="99">
        <v>10.8</v>
      </c>
      <c r="M348" s="94">
        <v>151</v>
      </c>
      <c r="N348" s="94"/>
      <c r="O348" s="94">
        <v>26</v>
      </c>
      <c r="P348" s="103"/>
      <c r="Q348" s="103" t="s">
        <v>212</v>
      </c>
    </row>
    <row r="349" ht="14.25" customHeight="1" spans="1:17">
      <c r="A349" s="87">
        <v>42</v>
      </c>
      <c r="B349" s="87" t="str">
        <f t="shared" si="5"/>
        <v>170210</v>
      </c>
      <c r="C349" s="94" t="s">
        <v>485</v>
      </c>
      <c r="D349" s="94">
        <v>170210309</v>
      </c>
      <c r="E349" s="38">
        <v>1</v>
      </c>
      <c r="F349" s="94" t="s">
        <v>516</v>
      </c>
      <c r="G349" s="94">
        <v>2</v>
      </c>
      <c r="H349" s="99">
        <v>165.6</v>
      </c>
      <c r="I349" s="99">
        <v>52</v>
      </c>
      <c r="J349" s="94">
        <v>3100</v>
      </c>
      <c r="K349" s="99">
        <v>13.09</v>
      </c>
      <c r="L349" s="99">
        <v>9.6</v>
      </c>
      <c r="M349" s="94">
        <v>154</v>
      </c>
      <c r="N349" s="94"/>
      <c r="O349" s="94">
        <v>32</v>
      </c>
      <c r="P349" s="103"/>
      <c r="Q349" s="103" t="s">
        <v>81</v>
      </c>
    </row>
    <row r="350" ht="14.25" customHeight="1" spans="1:17">
      <c r="A350" s="87">
        <v>42</v>
      </c>
      <c r="B350" s="87" t="str">
        <f t="shared" si="5"/>
        <v>170210</v>
      </c>
      <c r="C350" s="94" t="s">
        <v>485</v>
      </c>
      <c r="D350" s="94">
        <v>170210310</v>
      </c>
      <c r="E350" s="38">
        <v>1</v>
      </c>
      <c r="F350" s="94" t="s">
        <v>517</v>
      </c>
      <c r="G350" s="94">
        <v>2</v>
      </c>
      <c r="H350" s="99">
        <v>155.4</v>
      </c>
      <c r="I350" s="99">
        <v>47.7</v>
      </c>
      <c r="J350" s="94">
        <v>2640</v>
      </c>
      <c r="K350" s="99">
        <v>13</v>
      </c>
      <c r="L350" s="99">
        <v>10</v>
      </c>
      <c r="M350" s="94">
        <v>145</v>
      </c>
      <c r="N350" s="94"/>
      <c r="O350" s="94">
        <v>42</v>
      </c>
      <c r="P350" s="103"/>
      <c r="Q350" s="103" t="s">
        <v>33</v>
      </c>
    </row>
    <row r="351" ht="14.25" customHeight="1" spans="1:17">
      <c r="A351" s="87">
        <v>42</v>
      </c>
      <c r="B351" s="87" t="str">
        <f t="shared" si="5"/>
        <v>170210</v>
      </c>
      <c r="C351" s="94" t="s">
        <v>485</v>
      </c>
      <c r="D351" s="94">
        <v>170210311</v>
      </c>
      <c r="E351" s="38">
        <v>1</v>
      </c>
      <c r="F351" s="94" t="s">
        <v>518</v>
      </c>
      <c r="G351" s="94">
        <v>2</v>
      </c>
      <c r="H351" s="99">
        <v>168.5</v>
      </c>
      <c r="I351" s="99">
        <v>5</v>
      </c>
      <c r="J351" s="94">
        <v>3204</v>
      </c>
      <c r="K351" s="99">
        <v>18.7</v>
      </c>
      <c r="L351" s="99">
        <v>9.9</v>
      </c>
      <c r="M351" s="94">
        <v>165</v>
      </c>
      <c r="N351" s="94"/>
      <c r="O351" s="94">
        <v>30</v>
      </c>
      <c r="P351" s="103"/>
      <c r="Q351" s="103" t="s">
        <v>98</v>
      </c>
    </row>
    <row r="352" ht="14.25" customHeight="1" spans="1:17">
      <c r="A352" s="87">
        <v>42</v>
      </c>
      <c r="B352" s="87" t="str">
        <f t="shared" si="5"/>
        <v>170210</v>
      </c>
      <c r="C352" s="94" t="s">
        <v>485</v>
      </c>
      <c r="D352" s="94">
        <v>170210316</v>
      </c>
      <c r="E352" s="38">
        <v>1</v>
      </c>
      <c r="F352" s="94" t="s">
        <v>519</v>
      </c>
      <c r="G352" s="94">
        <v>2</v>
      </c>
      <c r="H352" s="99">
        <v>164</v>
      </c>
      <c r="I352" s="99">
        <v>54</v>
      </c>
      <c r="J352" s="94">
        <v>2742</v>
      </c>
      <c r="K352" s="99">
        <v>12.3</v>
      </c>
      <c r="L352" s="99">
        <v>9.6</v>
      </c>
      <c r="M352" s="94">
        <v>150</v>
      </c>
      <c r="N352" s="94"/>
      <c r="O352" s="94">
        <v>42</v>
      </c>
      <c r="P352" s="103"/>
      <c r="Q352" s="103" t="s">
        <v>19</v>
      </c>
    </row>
    <row r="353" ht="14.25" customHeight="1" spans="1:17">
      <c r="A353" s="87">
        <v>42</v>
      </c>
      <c r="B353" s="87" t="str">
        <f t="shared" si="5"/>
        <v>170210</v>
      </c>
      <c r="C353" s="94" t="s">
        <v>485</v>
      </c>
      <c r="D353" s="94">
        <v>170210319</v>
      </c>
      <c r="E353" s="38">
        <v>1</v>
      </c>
      <c r="F353" s="94" t="s">
        <v>520</v>
      </c>
      <c r="G353" s="94">
        <v>1</v>
      </c>
      <c r="H353" s="99">
        <v>174.5</v>
      </c>
      <c r="I353" s="99">
        <v>65</v>
      </c>
      <c r="J353" s="94">
        <v>4200</v>
      </c>
      <c r="K353" s="99">
        <v>7.2</v>
      </c>
      <c r="L353" s="99">
        <v>8.5</v>
      </c>
      <c r="M353" s="94">
        <v>195</v>
      </c>
      <c r="N353" s="94">
        <v>3</v>
      </c>
      <c r="O353" s="94"/>
      <c r="P353" s="103" t="s">
        <v>75</v>
      </c>
      <c r="Q353" s="103"/>
    </row>
    <row r="354" ht="14.25" customHeight="1" spans="1:17">
      <c r="A354" s="87">
        <v>42</v>
      </c>
      <c r="B354" s="87" t="str">
        <f t="shared" si="5"/>
        <v>170210</v>
      </c>
      <c r="C354" s="94" t="s">
        <v>485</v>
      </c>
      <c r="D354" s="94">
        <v>170210321</v>
      </c>
      <c r="E354" s="38">
        <v>1</v>
      </c>
      <c r="F354" s="94" t="s">
        <v>521</v>
      </c>
      <c r="G354" s="94">
        <v>1</v>
      </c>
      <c r="H354" s="99">
        <v>178</v>
      </c>
      <c r="I354" s="99">
        <v>76</v>
      </c>
      <c r="J354" s="94">
        <v>5352</v>
      </c>
      <c r="K354" s="99">
        <v>23.4</v>
      </c>
      <c r="L354" s="99">
        <v>7.6</v>
      </c>
      <c r="M354" s="94">
        <v>245</v>
      </c>
      <c r="N354" s="94">
        <v>8</v>
      </c>
      <c r="O354" s="94"/>
      <c r="P354" s="103" t="s">
        <v>33</v>
      </c>
      <c r="Q354" s="103"/>
    </row>
    <row r="355" ht="14.25" customHeight="1" spans="1:17">
      <c r="A355" s="87">
        <v>42</v>
      </c>
      <c r="B355" s="87" t="str">
        <f t="shared" si="5"/>
        <v>170210</v>
      </c>
      <c r="C355" s="94" t="s">
        <v>485</v>
      </c>
      <c r="D355" s="94">
        <v>170210323</v>
      </c>
      <c r="E355" s="38">
        <v>1</v>
      </c>
      <c r="F355" s="94" t="s">
        <v>522</v>
      </c>
      <c r="G355" s="94">
        <v>1</v>
      </c>
      <c r="H355" s="99">
        <v>174.3</v>
      </c>
      <c r="I355" s="99">
        <v>56.6</v>
      </c>
      <c r="J355" s="94">
        <v>4300</v>
      </c>
      <c r="K355" s="99">
        <v>5.1</v>
      </c>
      <c r="L355" s="99">
        <v>8</v>
      </c>
      <c r="M355" s="94">
        <v>215</v>
      </c>
      <c r="N355" s="94">
        <v>15</v>
      </c>
      <c r="O355" s="94"/>
      <c r="P355" s="103" t="s">
        <v>92</v>
      </c>
      <c r="Q355" s="103"/>
    </row>
    <row r="356" ht="14.25" customHeight="1" spans="1:17">
      <c r="A356" s="87">
        <v>42</v>
      </c>
      <c r="B356" s="87" t="str">
        <f t="shared" si="5"/>
        <v>170210</v>
      </c>
      <c r="C356" s="94" t="s">
        <v>485</v>
      </c>
      <c r="D356" s="94">
        <v>170210324</v>
      </c>
      <c r="E356" s="38">
        <v>1</v>
      </c>
      <c r="F356" s="94" t="s">
        <v>523</v>
      </c>
      <c r="G356" s="94">
        <v>1</v>
      </c>
      <c r="H356" s="99">
        <v>183</v>
      </c>
      <c r="I356" s="99">
        <v>95</v>
      </c>
      <c r="J356" s="94">
        <v>5324</v>
      </c>
      <c r="K356" s="99">
        <v>8.7</v>
      </c>
      <c r="L356" s="99">
        <v>7.7</v>
      </c>
      <c r="M356" s="94">
        <v>195</v>
      </c>
      <c r="N356" s="94">
        <v>15</v>
      </c>
      <c r="O356" s="94"/>
      <c r="P356" s="103" t="s">
        <v>33</v>
      </c>
      <c r="Q356" s="103"/>
    </row>
    <row r="357" ht="14.25" customHeight="1" spans="1:17">
      <c r="A357" s="87">
        <v>42</v>
      </c>
      <c r="B357" s="87" t="str">
        <f t="shared" si="5"/>
        <v>170210</v>
      </c>
      <c r="C357" s="94" t="s">
        <v>485</v>
      </c>
      <c r="D357" s="94">
        <v>170210331</v>
      </c>
      <c r="E357" s="38">
        <v>1</v>
      </c>
      <c r="F357" s="94" t="s">
        <v>524</v>
      </c>
      <c r="G357" s="94">
        <v>1</v>
      </c>
      <c r="H357" s="99">
        <v>171</v>
      </c>
      <c r="I357" s="99">
        <v>51.7</v>
      </c>
      <c r="J357" s="94">
        <v>4400</v>
      </c>
      <c r="K357" s="99">
        <v>23.1</v>
      </c>
      <c r="L357" s="99">
        <v>7.4</v>
      </c>
      <c r="M357" s="94">
        <v>225</v>
      </c>
      <c r="N357" s="94">
        <v>5</v>
      </c>
      <c r="O357" s="94"/>
      <c r="P357" s="103" t="s">
        <v>140</v>
      </c>
      <c r="Q357" s="103"/>
    </row>
    <row r="358" ht="14.25" customHeight="1" spans="1:17">
      <c r="A358" s="87">
        <v>42</v>
      </c>
      <c r="B358" s="87" t="str">
        <f t="shared" si="5"/>
        <v>170210</v>
      </c>
      <c r="C358" s="94" t="s">
        <v>485</v>
      </c>
      <c r="D358" s="94">
        <v>170210335</v>
      </c>
      <c r="E358" s="38">
        <v>1</v>
      </c>
      <c r="F358" s="94" t="s">
        <v>525</v>
      </c>
      <c r="G358" s="94">
        <v>1</v>
      </c>
      <c r="H358" s="99">
        <v>187.3</v>
      </c>
      <c r="I358" s="99">
        <v>79</v>
      </c>
      <c r="J358" s="94">
        <v>4493</v>
      </c>
      <c r="K358" s="99">
        <v>16.6</v>
      </c>
      <c r="L358" s="99">
        <v>7.1</v>
      </c>
      <c r="M358" s="94">
        <v>210</v>
      </c>
      <c r="N358" s="94">
        <v>1</v>
      </c>
      <c r="O358" s="94"/>
      <c r="P358" s="103" t="s">
        <v>108</v>
      </c>
      <c r="Q358" s="103"/>
    </row>
    <row r="359" ht="14.25" customHeight="1" spans="1:17">
      <c r="A359" s="87">
        <v>42</v>
      </c>
      <c r="B359" s="87" t="str">
        <f t="shared" si="5"/>
        <v>170210</v>
      </c>
      <c r="C359" s="94" t="s">
        <v>485</v>
      </c>
      <c r="D359" s="94">
        <v>170210336</v>
      </c>
      <c r="E359" s="38">
        <v>1</v>
      </c>
      <c r="F359" s="94" t="s">
        <v>526</v>
      </c>
      <c r="G359" s="94">
        <v>1</v>
      </c>
      <c r="H359" s="99">
        <v>171</v>
      </c>
      <c r="I359" s="99">
        <v>50</v>
      </c>
      <c r="J359" s="94">
        <v>4099</v>
      </c>
      <c r="K359" s="99">
        <v>12.6</v>
      </c>
      <c r="L359" s="99">
        <v>8.2</v>
      </c>
      <c r="M359" s="94">
        <v>194</v>
      </c>
      <c r="N359" s="94">
        <v>5</v>
      </c>
      <c r="O359" s="94"/>
      <c r="P359" s="103" t="s">
        <v>230</v>
      </c>
      <c r="Q359" s="103"/>
    </row>
    <row r="360" ht="14.25" customHeight="1" spans="1:17">
      <c r="A360" s="87">
        <v>42</v>
      </c>
      <c r="B360" s="87" t="str">
        <f t="shared" si="5"/>
        <v>170210</v>
      </c>
      <c r="C360" s="94" t="s">
        <v>485</v>
      </c>
      <c r="D360" s="94">
        <v>170210337</v>
      </c>
      <c r="E360" s="38">
        <v>1</v>
      </c>
      <c r="F360" s="94" t="s">
        <v>527</v>
      </c>
      <c r="G360" s="94">
        <v>1</v>
      </c>
      <c r="H360" s="99">
        <v>170.3</v>
      </c>
      <c r="I360" s="99">
        <v>61.8</v>
      </c>
      <c r="J360" s="94">
        <v>4199</v>
      </c>
      <c r="K360" s="99">
        <v>13.2</v>
      </c>
      <c r="L360" s="99">
        <v>8.1</v>
      </c>
      <c r="M360" s="94">
        <v>214</v>
      </c>
      <c r="N360" s="94">
        <v>5</v>
      </c>
      <c r="O360" s="94"/>
      <c r="P360" s="103" t="s">
        <v>71</v>
      </c>
      <c r="Q360" s="103"/>
    </row>
    <row r="361" ht="14.25" customHeight="1" spans="1:17">
      <c r="A361" s="87">
        <v>42</v>
      </c>
      <c r="B361" s="87" t="str">
        <f t="shared" si="5"/>
        <v>170210</v>
      </c>
      <c r="C361" s="94" t="s">
        <v>485</v>
      </c>
      <c r="D361" s="94">
        <v>170210340</v>
      </c>
      <c r="E361" s="38">
        <v>1</v>
      </c>
      <c r="F361" s="94" t="s">
        <v>528</v>
      </c>
      <c r="G361" s="94">
        <v>1</v>
      </c>
      <c r="H361" s="99">
        <v>175.6</v>
      </c>
      <c r="I361" s="99">
        <v>68</v>
      </c>
      <c r="J361" s="94">
        <v>4041</v>
      </c>
      <c r="K361" s="99">
        <v>13.2</v>
      </c>
      <c r="L361" s="99">
        <v>7.3</v>
      </c>
      <c r="M361" s="94">
        <v>241</v>
      </c>
      <c r="N361" s="94">
        <v>5</v>
      </c>
      <c r="O361" s="94"/>
      <c r="P361" s="103" t="s">
        <v>110</v>
      </c>
      <c r="Q361" s="103"/>
    </row>
    <row r="362" ht="14.25" customHeight="1" spans="1:17">
      <c r="A362" s="87">
        <v>42</v>
      </c>
      <c r="B362" s="87" t="str">
        <f t="shared" si="5"/>
        <v>170210</v>
      </c>
      <c r="C362" s="94" t="s">
        <v>485</v>
      </c>
      <c r="D362" s="94">
        <v>170210350</v>
      </c>
      <c r="E362" s="38">
        <v>1</v>
      </c>
      <c r="F362" s="94" t="s">
        <v>529</v>
      </c>
      <c r="G362" s="94">
        <v>1</v>
      </c>
      <c r="H362" s="99">
        <v>177.6</v>
      </c>
      <c r="I362" s="99">
        <v>68</v>
      </c>
      <c r="J362" s="94">
        <v>4230</v>
      </c>
      <c r="K362" s="99">
        <v>10.1</v>
      </c>
      <c r="L362" s="99">
        <v>7.2</v>
      </c>
      <c r="M362" s="94">
        <v>205</v>
      </c>
      <c r="N362" s="94">
        <v>6</v>
      </c>
      <c r="O362" s="94"/>
      <c r="P362" s="103" t="s">
        <v>230</v>
      </c>
      <c r="Q362" s="103"/>
    </row>
    <row r="363" ht="14.25" customHeight="1" spans="1:17">
      <c r="A363" s="87">
        <v>42</v>
      </c>
      <c r="B363" s="87" t="str">
        <f t="shared" si="5"/>
        <v>170210</v>
      </c>
      <c r="C363" s="94" t="s">
        <v>485</v>
      </c>
      <c r="D363" s="94">
        <v>170210354</v>
      </c>
      <c r="E363" s="38">
        <v>1</v>
      </c>
      <c r="F363" s="94" t="s">
        <v>530</v>
      </c>
      <c r="G363" s="94">
        <v>1</v>
      </c>
      <c r="H363" s="99">
        <v>175.2</v>
      </c>
      <c r="I363" s="99">
        <v>66.8</v>
      </c>
      <c r="J363" s="94">
        <v>4427</v>
      </c>
      <c r="K363" s="99">
        <v>8.7</v>
      </c>
      <c r="L363" s="99">
        <v>7.6</v>
      </c>
      <c r="M363" s="94">
        <v>224</v>
      </c>
      <c r="N363" s="94">
        <v>8</v>
      </c>
      <c r="O363" s="94"/>
      <c r="P363" s="103" t="s">
        <v>126</v>
      </c>
      <c r="Q363" s="103"/>
    </row>
    <row r="364" ht="14.25" customHeight="1" spans="1:17">
      <c r="A364" s="87">
        <v>42</v>
      </c>
      <c r="B364" s="87" t="str">
        <f t="shared" si="5"/>
        <v>170210</v>
      </c>
      <c r="C364" s="94" t="s">
        <v>485</v>
      </c>
      <c r="D364" s="94">
        <v>170210355</v>
      </c>
      <c r="E364" s="38">
        <v>1</v>
      </c>
      <c r="F364" s="94" t="s">
        <v>531</v>
      </c>
      <c r="G364" s="94">
        <v>1</v>
      </c>
      <c r="H364" s="99">
        <v>175.1</v>
      </c>
      <c r="I364" s="99">
        <v>68.2</v>
      </c>
      <c r="J364" s="94">
        <v>3839</v>
      </c>
      <c r="K364" s="99">
        <v>6.4</v>
      </c>
      <c r="L364" s="99">
        <v>8.4</v>
      </c>
      <c r="M364" s="94">
        <v>184</v>
      </c>
      <c r="N364" s="94">
        <v>1</v>
      </c>
      <c r="O364" s="94"/>
      <c r="P364" s="103" t="s">
        <v>148</v>
      </c>
      <c r="Q364" s="103"/>
    </row>
    <row r="365" ht="14.25" customHeight="1" spans="1:17">
      <c r="A365" s="87">
        <v>42</v>
      </c>
      <c r="B365" s="87" t="str">
        <f t="shared" si="5"/>
        <v>170210</v>
      </c>
      <c r="C365" s="94" t="s">
        <v>485</v>
      </c>
      <c r="D365" s="94">
        <v>170210179</v>
      </c>
      <c r="E365" s="38">
        <v>1</v>
      </c>
      <c r="F365" s="94" t="s">
        <v>532</v>
      </c>
      <c r="G365" s="94">
        <v>1</v>
      </c>
      <c r="H365" s="99">
        <v>170</v>
      </c>
      <c r="I365" s="99">
        <v>65.2</v>
      </c>
      <c r="J365" s="94">
        <v>5000</v>
      </c>
      <c r="K365" s="99">
        <v>13</v>
      </c>
      <c r="L365" s="99">
        <v>7.4</v>
      </c>
      <c r="M365" s="94">
        <v>195</v>
      </c>
      <c r="N365" s="94">
        <v>6</v>
      </c>
      <c r="O365" s="94"/>
      <c r="P365" s="103" t="s">
        <v>251</v>
      </c>
      <c r="Q365" s="103"/>
    </row>
    <row r="366" spans="14:14">
      <c r="N366" s="92"/>
    </row>
  </sheetData>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65"/>
  <sheetViews>
    <sheetView tabSelected="1" topLeftCell="A13" workbookViewId="0">
      <selection activeCell="F25" sqref="F25"/>
    </sheetView>
  </sheetViews>
  <sheetFormatPr defaultColWidth="10" defaultRowHeight="13" customHeight="1"/>
  <cols>
    <col min="1" max="1" width="10" style="30"/>
    <col min="2" max="2" width="12.25" style="30"/>
    <col min="3" max="3" width="11.75" style="30" customWidth="1"/>
    <col min="4" max="4" width="11.5" style="30" customWidth="1"/>
    <col min="5" max="5" width="7.375" style="31" customWidth="1"/>
    <col min="6" max="6" width="9.875" style="31" customWidth="1"/>
    <col min="7" max="7" width="5.125" style="31" customWidth="1"/>
    <col min="8" max="8" width="12.875" style="31" customWidth="1"/>
    <col min="9" max="9" width="9.875" style="33" customWidth="1"/>
    <col min="10" max="10" width="22.375" style="31" customWidth="1"/>
    <col min="11" max="11" width="53.25" style="31" customWidth="1"/>
    <col min="12" max="12" width="32.5" style="31" customWidth="1"/>
    <col min="13" max="14" width="10" style="31"/>
    <col min="15" max="15" width="12.1083333333333" style="31" customWidth="1"/>
    <col min="16" max="21" width="10" style="31"/>
    <col min="22" max="22" width="12.3333333333333" style="31" customWidth="1"/>
    <col min="23" max="264" width="10" style="31"/>
    <col min="265" max="16384" width="9" style="31"/>
  </cols>
  <sheetData>
    <row r="1" s="30" customFormat="1" ht="14.25" spans="1:13">
      <c r="A1" s="34" t="s">
        <v>0</v>
      </c>
      <c r="B1" s="35" t="s">
        <v>1</v>
      </c>
      <c r="C1" s="36" t="s">
        <v>533</v>
      </c>
      <c r="D1" s="37" t="s">
        <v>534</v>
      </c>
      <c r="E1" s="35" t="s">
        <v>4</v>
      </c>
      <c r="F1" s="38" t="s">
        <v>5</v>
      </c>
      <c r="G1" s="38" t="s">
        <v>6</v>
      </c>
      <c r="H1" s="39" t="s">
        <v>535</v>
      </c>
      <c r="I1" s="43" t="s">
        <v>536</v>
      </c>
      <c r="J1" s="44" t="s">
        <v>537</v>
      </c>
      <c r="K1" s="38" t="s">
        <v>538</v>
      </c>
      <c r="L1" s="34"/>
      <c r="M1" s="34"/>
    </row>
    <row r="2" s="31" customFormat="1" customHeight="1" spans="1:13">
      <c r="A2" s="34">
        <v>42</v>
      </c>
      <c r="B2" s="34">
        <v>1705101</v>
      </c>
      <c r="C2" s="34" t="s">
        <v>17</v>
      </c>
      <c r="D2" s="34">
        <v>170510140</v>
      </c>
      <c r="E2" s="38">
        <v>1</v>
      </c>
      <c r="F2" s="38" t="s">
        <v>18</v>
      </c>
      <c r="G2" s="38">
        <v>2</v>
      </c>
      <c r="H2" s="40">
        <v>35755</v>
      </c>
      <c r="I2" s="124" t="s">
        <v>539</v>
      </c>
      <c r="J2" s="40" t="s">
        <v>540</v>
      </c>
      <c r="K2" s="46" t="s">
        <v>541</v>
      </c>
      <c r="L2" s="38"/>
      <c r="M2" s="38"/>
    </row>
    <row r="3" s="31" customFormat="1" customHeight="1" spans="1:13">
      <c r="A3" s="34">
        <v>42</v>
      </c>
      <c r="B3" s="34">
        <v>1705101</v>
      </c>
      <c r="C3" s="34" t="s">
        <v>17</v>
      </c>
      <c r="D3" s="34">
        <v>170510114</v>
      </c>
      <c r="E3" s="38">
        <v>1</v>
      </c>
      <c r="F3" s="38" t="s">
        <v>20</v>
      </c>
      <c r="G3" s="38">
        <v>2</v>
      </c>
      <c r="H3" s="40">
        <v>36476</v>
      </c>
      <c r="I3" s="124" t="s">
        <v>542</v>
      </c>
      <c r="J3" s="40" t="s">
        <v>543</v>
      </c>
      <c r="K3" s="46" t="s">
        <v>544</v>
      </c>
      <c r="L3" s="38"/>
      <c r="M3" s="38"/>
    </row>
    <row r="4" s="31" customFormat="1" customHeight="1" spans="1:13">
      <c r="A4" s="34">
        <v>42</v>
      </c>
      <c r="B4" s="34">
        <v>1705101</v>
      </c>
      <c r="C4" s="34" t="s">
        <v>17</v>
      </c>
      <c r="D4" s="41">
        <v>170510115</v>
      </c>
      <c r="E4" s="38">
        <v>1</v>
      </c>
      <c r="F4" s="38" t="s">
        <v>22</v>
      </c>
      <c r="G4" s="38">
        <v>2</v>
      </c>
      <c r="H4" s="40">
        <v>36414</v>
      </c>
      <c r="I4" s="124" t="s">
        <v>542</v>
      </c>
      <c r="J4" s="40" t="s">
        <v>545</v>
      </c>
      <c r="K4" s="46" t="s">
        <v>546</v>
      </c>
      <c r="L4" s="38"/>
      <c r="M4" s="38"/>
    </row>
    <row r="5" s="31" customFormat="1" customHeight="1" spans="1:13">
      <c r="A5" s="34">
        <v>42</v>
      </c>
      <c r="B5" s="34">
        <v>1705101</v>
      </c>
      <c r="C5" s="34" t="s">
        <v>17</v>
      </c>
      <c r="D5" s="34">
        <v>170510117</v>
      </c>
      <c r="E5" s="38">
        <v>1</v>
      </c>
      <c r="F5" s="38" t="s">
        <v>24</v>
      </c>
      <c r="G5" s="38">
        <v>2</v>
      </c>
      <c r="H5" s="40">
        <v>36223</v>
      </c>
      <c r="I5" s="124" t="s">
        <v>547</v>
      </c>
      <c r="J5" s="40" t="s">
        <v>548</v>
      </c>
      <c r="K5" s="46" t="s">
        <v>549</v>
      </c>
      <c r="L5" s="38"/>
      <c r="M5" s="38"/>
    </row>
    <row r="6" s="31" customFormat="1" customHeight="1" spans="1:13">
      <c r="A6" s="34">
        <v>42</v>
      </c>
      <c r="B6" s="34">
        <v>1705101</v>
      </c>
      <c r="C6" s="34" t="s">
        <v>17</v>
      </c>
      <c r="D6" s="34">
        <v>170510118</v>
      </c>
      <c r="E6" s="38">
        <v>7</v>
      </c>
      <c r="F6" s="38" t="s">
        <v>26</v>
      </c>
      <c r="G6" s="38">
        <v>2</v>
      </c>
      <c r="H6" s="40">
        <v>36189</v>
      </c>
      <c r="I6" s="45">
        <v>532700</v>
      </c>
      <c r="J6" s="40" t="s">
        <v>550</v>
      </c>
      <c r="K6" s="46" t="s">
        <v>551</v>
      </c>
      <c r="L6" s="38"/>
      <c r="M6" s="38"/>
    </row>
    <row r="7" s="31" customFormat="1" customHeight="1" spans="1:13">
      <c r="A7" s="34">
        <v>42</v>
      </c>
      <c r="B7" s="34">
        <v>1705101</v>
      </c>
      <c r="C7" s="34" t="s">
        <v>17</v>
      </c>
      <c r="D7" s="34">
        <v>170510119</v>
      </c>
      <c r="E7" s="38">
        <v>1</v>
      </c>
      <c r="F7" s="38" t="s">
        <v>28</v>
      </c>
      <c r="G7" s="38">
        <v>2</v>
      </c>
      <c r="H7" s="40">
        <v>36053</v>
      </c>
      <c r="I7" s="45">
        <v>320400</v>
      </c>
      <c r="J7" s="40" t="s">
        <v>552</v>
      </c>
      <c r="K7" s="46" t="s">
        <v>553</v>
      </c>
      <c r="L7" s="38"/>
      <c r="M7" s="38"/>
    </row>
    <row r="8" s="31" customFormat="1" customHeight="1" spans="1:13">
      <c r="A8" s="34">
        <v>42</v>
      </c>
      <c r="B8" s="34">
        <v>1705101</v>
      </c>
      <c r="C8" s="34" t="s">
        <v>17</v>
      </c>
      <c r="D8" s="34">
        <v>170510120</v>
      </c>
      <c r="E8" s="38">
        <v>1</v>
      </c>
      <c r="F8" s="38" t="s">
        <v>30</v>
      </c>
      <c r="G8" s="38">
        <v>2</v>
      </c>
      <c r="H8" s="40">
        <v>36203</v>
      </c>
      <c r="I8" s="124" t="s">
        <v>554</v>
      </c>
      <c r="J8" s="40" t="s">
        <v>555</v>
      </c>
      <c r="K8" s="46" t="s">
        <v>556</v>
      </c>
      <c r="L8" s="38"/>
      <c r="M8" s="38"/>
    </row>
    <row r="9" s="31" customFormat="1" customHeight="1" spans="1:13">
      <c r="A9" s="34">
        <v>42</v>
      </c>
      <c r="B9" s="34">
        <v>1705101</v>
      </c>
      <c r="C9" s="34" t="s">
        <v>17</v>
      </c>
      <c r="D9" s="34">
        <v>170510122</v>
      </c>
      <c r="E9" s="38">
        <v>1</v>
      </c>
      <c r="F9" s="38" t="s">
        <v>32</v>
      </c>
      <c r="G9" s="38">
        <v>2</v>
      </c>
      <c r="H9" s="40">
        <v>36293</v>
      </c>
      <c r="I9" s="45">
        <v>510500</v>
      </c>
      <c r="J9" s="40" t="s">
        <v>557</v>
      </c>
      <c r="K9" s="46" t="s">
        <v>558</v>
      </c>
      <c r="L9" s="38"/>
      <c r="M9" s="38"/>
    </row>
    <row r="10" s="31" customFormat="1" customHeight="1" spans="1:13">
      <c r="A10" s="34">
        <v>42</v>
      </c>
      <c r="B10" s="34">
        <v>1705101</v>
      </c>
      <c r="C10" s="34" t="s">
        <v>17</v>
      </c>
      <c r="D10" s="34">
        <v>170510123</v>
      </c>
      <c r="E10" s="38">
        <v>1</v>
      </c>
      <c r="F10" s="38" t="s">
        <v>34</v>
      </c>
      <c r="G10" s="38">
        <v>2</v>
      </c>
      <c r="H10" s="40">
        <v>36206</v>
      </c>
      <c r="I10" s="45">
        <v>330200</v>
      </c>
      <c r="J10" s="40" t="s">
        <v>559</v>
      </c>
      <c r="K10" s="46" t="s">
        <v>560</v>
      </c>
      <c r="L10" s="38"/>
      <c r="M10" s="38"/>
    </row>
    <row r="11" s="31" customFormat="1" customHeight="1" spans="1:13">
      <c r="A11" s="34">
        <v>42</v>
      </c>
      <c r="B11" s="34">
        <v>1705101</v>
      </c>
      <c r="C11" s="34" t="s">
        <v>17</v>
      </c>
      <c r="D11" s="34">
        <v>170510124</v>
      </c>
      <c r="E11" s="38">
        <v>1</v>
      </c>
      <c r="F11" s="38" t="s">
        <v>35</v>
      </c>
      <c r="G11" s="38">
        <v>2</v>
      </c>
      <c r="H11" s="40">
        <v>36134</v>
      </c>
      <c r="I11" s="45">
        <v>320400</v>
      </c>
      <c r="J11" s="40" t="s">
        <v>561</v>
      </c>
      <c r="K11" s="46" t="s">
        <v>562</v>
      </c>
      <c r="L11" s="38"/>
      <c r="M11" s="38"/>
    </row>
    <row r="12" s="31" customFormat="1" customHeight="1" spans="1:13">
      <c r="A12" s="34">
        <v>42</v>
      </c>
      <c r="B12" s="34">
        <v>1705101</v>
      </c>
      <c r="C12" s="34" t="s">
        <v>17</v>
      </c>
      <c r="D12" s="34">
        <v>170510125</v>
      </c>
      <c r="E12" s="38">
        <v>1</v>
      </c>
      <c r="F12" s="38" t="s">
        <v>37</v>
      </c>
      <c r="G12" s="38">
        <v>2</v>
      </c>
      <c r="H12" s="40">
        <v>36470</v>
      </c>
      <c r="I12" s="45">
        <v>360400</v>
      </c>
      <c r="J12" s="40" t="s">
        <v>563</v>
      </c>
      <c r="K12" s="46" t="s">
        <v>564</v>
      </c>
      <c r="L12" s="38"/>
      <c r="M12" s="38"/>
    </row>
    <row r="13" s="31" customFormat="1" customHeight="1" spans="1:13">
      <c r="A13" s="34">
        <v>42</v>
      </c>
      <c r="B13" s="34">
        <v>1705101</v>
      </c>
      <c r="C13" s="34" t="s">
        <v>17</v>
      </c>
      <c r="D13" s="34">
        <v>170510126</v>
      </c>
      <c r="E13" s="38">
        <v>1</v>
      </c>
      <c r="F13" s="38" t="s">
        <v>39</v>
      </c>
      <c r="G13" s="38">
        <v>2</v>
      </c>
      <c r="H13" s="40">
        <v>36397</v>
      </c>
      <c r="I13" s="124" t="s">
        <v>565</v>
      </c>
      <c r="J13" s="40" t="s">
        <v>566</v>
      </c>
      <c r="K13" s="46" t="s">
        <v>567</v>
      </c>
      <c r="L13" s="38"/>
      <c r="M13" s="38"/>
    </row>
    <row r="14" s="31" customFormat="1" customHeight="1" spans="1:13">
      <c r="A14" s="34">
        <v>42</v>
      </c>
      <c r="B14" s="34">
        <v>1705101</v>
      </c>
      <c r="C14" s="34" t="s">
        <v>17</v>
      </c>
      <c r="D14" s="34">
        <v>170510127</v>
      </c>
      <c r="E14" s="38">
        <v>1</v>
      </c>
      <c r="F14" s="38" t="s">
        <v>41</v>
      </c>
      <c r="G14" s="38">
        <v>2</v>
      </c>
      <c r="H14" s="40">
        <v>35557</v>
      </c>
      <c r="I14" s="45">
        <v>342600</v>
      </c>
      <c r="J14" s="40" t="s">
        <v>568</v>
      </c>
      <c r="K14" s="46" t="s">
        <v>569</v>
      </c>
      <c r="L14" s="38"/>
      <c r="M14" s="38"/>
    </row>
    <row r="15" s="31" customFormat="1" customHeight="1" spans="1:13">
      <c r="A15" s="34">
        <v>42</v>
      </c>
      <c r="B15" s="34">
        <v>1705101</v>
      </c>
      <c r="C15" s="34" t="s">
        <v>17</v>
      </c>
      <c r="D15" s="34">
        <v>170510128</v>
      </c>
      <c r="E15" s="38">
        <v>1</v>
      </c>
      <c r="F15" s="38" t="s">
        <v>43</v>
      </c>
      <c r="G15" s="38">
        <v>2</v>
      </c>
      <c r="H15" s="40">
        <v>36242</v>
      </c>
      <c r="I15" s="124" t="s">
        <v>570</v>
      </c>
      <c r="J15" s="40" t="s">
        <v>571</v>
      </c>
      <c r="K15" s="46" t="s">
        <v>572</v>
      </c>
      <c r="L15" s="38"/>
      <c r="M15" s="38"/>
    </row>
    <row r="16" s="31" customFormat="1" customHeight="1" spans="1:13">
      <c r="A16" s="34">
        <v>42</v>
      </c>
      <c r="B16" s="34">
        <v>1705101</v>
      </c>
      <c r="C16" s="34" t="s">
        <v>17</v>
      </c>
      <c r="D16" s="34">
        <v>170510129</v>
      </c>
      <c r="E16" s="38">
        <v>1</v>
      </c>
      <c r="F16" s="38" t="s">
        <v>45</v>
      </c>
      <c r="G16" s="38">
        <v>2</v>
      </c>
      <c r="H16" s="40">
        <v>35940</v>
      </c>
      <c r="I16" s="45">
        <v>532100</v>
      </c>
      <c r="J16" s="40" t="s">
        <v>573</v>
      </c>
      <c r="K16" s="46" t="s">
        <v>574</v>
      </c>
      <c r="L16" s="38"/>
      <c r="M16" s="38"/>
    </row>
    <row r="17" s="31" customFormat="1" customHeight="1" spans="1:13">
      <c r="A17" s="34">
        <v>42</v>
      </c>
      <c r="B17" s="34">
        <v>1705101</v>
      </c>
      <c r="C17" s="34" t="s">
        <v>17</v>
      </c>
      <c r="D17" s="34">
        <v>170510130</v>
      </c>
      <c r="E17" s="38">
        <v>1</v>
      </c>
      <c r="F17" s="38" t="s">
        <v>46</v>
      </c>
      <c r="G17" s="38">
        <v>2</v>
      </c>
      <c r="H17" s="40">
        <v>36141</v>
      </c>
      <c r="I17" s="124" t="s">
        <v>565</v>
      </c>
      <c r="J17" s="40" t="s">
        <v>575</v>
      </c>
      <c r="K17" s="46" t="s">
        <v>576</v>
      </c>
      <c r="L17" s="38"/>
      <c r="M17" s="38"/>
    </row>
    <row r="18" s="31" customFormat="1" customHeight="1" spans="1:13">
      <c r="A18" s="34">
        <v>42</v>
      </c>
      <c r="B18" s="34">
        <v>1705101</v>
      </c>
      <c r="C18" s="34" t="s">
        <v>17</v>
      </c>
      <c r="D18" s="34">
        <v>170510131</v>
      </c>
      <c r="E18" s="38">
        <v>1</v>
      </c>
      <c r="F18" s="38" t="s">
        <v>48</v>
      </c>
      <c r="G18" s="38">
        <v>2</v>
      </c>
      <c r="H18" s="40">
        <v>35993</v>
      </c>
      <c r="I18" s="45">
        <v>331000</v>
      </c>
      <c r="J18" s="40" t="s">
        <v>577</v>
      </c>
      <c r="K18" s="46" t="s">
        <v>578</v>
      </c>
      <c r="L18" s="38"/>
      <c r="M18" s="38"/>
    </row>
    <row r="19" s="31" customFormat="1" customHeight="1" spans="1:13">
      <c r="A19" s="34">
        <v>42</v>
      </c>
      <c r="B19" s="34">
        <v>1705101</v>
      </c>
      <c r="C19" s="34" t="s">
        <v>17</v>
      </c>
      <c r="D19" s="34">
        <v>170510132</v>
      </c>
      <c r="E19" s="38">
        <v>1</v>
      </c>
      <c r="F19" s="38" t="s">
        <v>50</v>
      </c>
      <c r="G19" s="38">
        <v>1</v>
      </c>
      <c r="H19" s="40">
        <v>36360</v>
      </c>
      <c r="I19" s="124" t="s">
        <v>579</v>
      </c>
      <c r="J19" s="40" t="s">
        <v>580</v>
      </c>
      <c r="K19" s="46" t="s">
        <v>581</v>
      </c>
      <c r="L19" s="38"/>
      <c r="M19" s="38"/>
    </row>
    <row r="20" s="31" customFormat="1" customHeight="1" spans="1:13">
      <c r="A20" s="34">
        <v>42</v>
      </c>
      <c r="B20" s="34">
        <v>1705101</v>
      </c>
      <c r="C20" s="34" t="s">
        <v>17</v>
      </c>
      <c r="D20" s="34">
        <v>170510133</v>
      </c>
      <c r="E20" s="38">
        <v>1</v>
      </c>
      <c r="F20" s="38" t="s">
        <v>52</v>
      </c>
      <c r="G20" s="38">
        <v>1</v>
      </c>
      <c r="H20" s="40">
        <v>36475</v>
      </c>
      <c r="I20" s="45">
        <v>330800</v>
      </c>
      <c r="J20" s="40" t="s">
        <v>582</v>
      </c>
      <c r="K20" s="46" t="s">
        <v>583</v>
      </c>
      <c r="L20" s="38"/>
      <c r="M20" s="38"/>
    </row>
    <row r="21" s="31" customFormat="1" customHeight="1" spans="1:13">
      <c r="A21" s="34">
        <v>42</v>
      </c>
      <c r="B21" s="34">
        <v>1705101</v>
      </c>
      <c r="C21" s="34" t="s">
        <v>17</v>
      </c>
      <c r="D21" s="34">
        <v>170510134</v>
      </c>
      <c r="E21" s="38">
        <v>1</v>
      </c>
      <c r="F21" s="38" t="s">
        <v>54</v>
      </c>
      <c r="G21" s="38">
        <v>1</v>
      </c>
      <c r="H21" s="40">
        <v>36240</v>
      </c>
      <c r="I21" s="45">
        <v>320400</v>
      </c>
      <c r="J21" s="40" t="s">
        <v>584</v>
      </c>
      <c r="K21" s="46" t="s">
        <v>585</v>
      </c>
      <c r="L21" s="38"/>
      <c r="M21" s="38"/>
    </row>
    <row r="22" s="31" customFormat="1" customHeight="1" spans="1:13">
      <c r="A22" s="34">
        <v>42</v>
      </c>
      <c r="B22" s="34">
        <v>1705101</v>
      </c>
      <c r="C22" s="34" t="s">
        <v>17</v>
      </c>
      <c r="D22" s="34">
        <v>170510135</v>
      </c>
      <c r="E22" s="38">
        <v>1</v>
      </c>
      <c r="F22" s="38" t="s">
        <v>56</v>
      </c>
      <c r="G22" s="38">
        <v>1</v>
      </c>
      <c r="H22" s="40">
        <v>36510</v>
      </c>
      <c r="I22" s="45">
        <v>362500</v>
      </c>
      <c r="J22" s="40" t="s">
        <v>586</v>
      </c>
      <c r="K22" s="46" t="s">
        <v>587</v>
      </c>
      <c r="L22" s="38"/>
      <c r="M22" s="38"/>
    </row>
    <row r="23" s="31" customFormat="1" customHeight="1" spans="1:13">
      <c r="A23" s="34">
        <v>42</v>
      </c>
      <c r="B23" s="34">
        <v>1705101</v>
      </c>
      <c r="C23" s="34" t="s">
        <v>17</v>
      </c>
      <c r="D23" s="34">
        <v>170510136</v>
      </c>
      <c r="E23" s="38">
        <v>1</v>
      </c>
      <c r="F23" s="38" t="s">
        <v>58</v>
      </c>
      <c r="G23" s="38">
        <v>1</v>
      </c>
      <c r="H23" s="40">
        <v>36070</v>
      </c>
      <c r="I23" s="45">
        <v>530300</v>
      </c>
      <c r="J23" s="40" t="s">
        <v>588</v>
      </c>
      <c r="K23" s="46" t="s">
        <v>589</v>
      </c>
      <c r="L23" s="38"/>
      <c r="M23" s="38"/>
    </row>
    <row r="24" s="31" customFormat="1" customHeight="1" spans="1:13">
      <c r="A24" s="34">
        <v>42</v>
      </c>
      <c r="B24" s="34">
        <v>1705101</v>
      </c>
      <c r="C24" s="34" t="s">
        <v>17</v>
      </c>
      <c r="D24" s="34">
        <v>170510138</v>
      </c>
      <c r="E24" s="38">
        <v>1</v>
      </c>
      <c r="F24" s="38" t="s">
        <v>59</v>
      </c>
      <c r="G24" s="38">
        <v>2</v>
      </c>
      <c r="H24" s="40">
        <v>36261</v>
      </c>
      <c r="I24" s="45">
        <v>532900</v>
      </c>
      <c r="J24" s="40" t="s">
        <v>590</v>
      </c>
      <c r="K24" s="46" t="s">
        <v>591</v>
      </c>
      <c r="L24" s="38"/>
      <c r="M24" s="38"/>
    </row>
    <row r="25" s="31" customFormat="1" customHeight="1" spans="1:13">
      <c r="A25" s="34">
        <v>42</v>
      </c>
      <c r="B25" s="34">
        <v>1705101</v>
      </c>
      <c r="C25" s="34" t="s">
        <v>17</v>
      </c>
      <c r="D25" s="34">
        <v>170510140</v>
      </c>
      <c r="E25" s="38">
        <v>1</v>
      </c>
      <c r="F25" s="38" t="s">
        <v>61</v>
      </c>
      <c r="G25" s="38">
        <v>2</v>
      </c>
      <c r="H25" s="40">
        <v>36341</v>
      </c>
      <c r="I25" s="124" t="s">
        <v>579</v>
      </c>
      <c r="J25" s="47" t="s">
        <v>592</v>
      </c>
      <c r="K25" s="46" t="s">
        <v>593</v>
      </c>
      <c r="L25" s="38"/>
      <c r="M25" s="38"/>
    </row>
    <row r="26" s="31" customFormat="1" customHeight="1" spans="1:13">
      <c r="A26" s="34">
        <v>42</v>
      </c>
      <c r="B26" s="34">
        <v>1705101</v>
      </c>
      <c r="C26" s="34" t="s">
        <v>17</v>
      </c>
      <c r="D26" s="34">
        <v>170510101</v>
      </c>
      <c r="E26" s="38">
        <v>1</v>
      </c>
      <c r="F26" s="38" t="s">
        <v>63</v>
      </c>
      <c r="G26" s="38">
        <v>2</v>
      </c>
      <c r="H26" s="40">
        <v>36207</v>
      </c>
      <c r="I26" s="124" t="s">
        <v>539</v>
      </c>
      <c r="J26" s="125" t="s">
        <v>594</v>
      </c>
      <c r="K26" s="46" t="s">
        <v>595</v>
      </c>
      <c r="L26" s="38"/>
      <c r="M26" s="38"/>
    </row>
    <row r="27" s="31" customFormat="1" customHeight="1" spans="1:13">
      <c r="A27" s="34">
        <v>42</v>
      </c>
      <c r="B27" s="34">
        <v>1705101</v>
      </c>
      <c r="C27" s="34" t="s">
        <v>17</v>
      </c>
      <c r="D27" s="34">
        <v>170510102</v>
      </c>
      <c r="E27" s="38">
        <v>1</v>
      </c>
      <c r="F27" s="38" t="s">
        <v>65</v>
      </c>
      <c r="G27" s="38">
        <v>2</v>
      </c>
      <c r="H27" s="40">
        <v>36288</v>
      </c>
      <c r="I27" s="124" t="s">
        <v>554</v>
      </c>
      <c r="J27" s="40" t="s">
        <v>596</v>
      </c>
      <c r="K27" s="46" t="s">
        <v>597</v>
      </c>
      <c r="L27" s="38"/>
      <c r="M27" s="38"/>
    </row>
    <row r="28" s="31" customFormat="1" customHeight="1" spans="1:13">
      <c r="A28" s="34">
        <v>42</v>
      </c>
      <c r="B28" s="34">
        <v>1705101</v>
      </c>
      <c r="C28" s="34" t="s">
        <v>17</v>
      </c>
      <c r="D28" s="34">
        <v>170510103</v>
      </c>
      <c r="E28" s="38">
        <v>1</v>
      </c>
      <c r="F28" s="38" t="s">
        <v>66</v>
      </c>
      <c r="G28" s="38">
        <v>2</v>
      </c>
      <c r="H28" s="40">
        <v>36384</v>
      </c>
      <c r="I28" s="45">
        <v>341000</v>
      </c>
      <c r="J28" s="40" t="s">
        <v>598</v>
      </c>
      <c r="K28" s="46" t="s">
        <v>599</v>
      </c>
      <c r="L28" s="38"/>
      <c r="M28" s="38"/>
    </row>
    <row r="29" s="31" customFormat="1" customHeight="1" spans="1:13">
      <c r="A29" s="34">
        <v>42</v>
      </c>
      <c r="B29" s="34">
        <v>1705101</v>
      </c>
      <c r="C29" s="34" t="s">
        <v>17</v>
      </c>
      <c r="D29" s="34">
        <v>170510104</v>
      </c>
      <c r="E29" s="38">
        <v>1</v>
      </c>
      <c r="F29" s="38" t="s">
        <v>68</v>
      </c>
      <c r="G29" s="38">
        <v>2</v>
      </c>
      <c r="H29" s="40">
        <v>36315</v>
      </c>
      <c r="I29" s="124" t="s">
        <v>579</v>
      </c>
      <c r="J29" s="40" t="s">
        <v>600</v>
      </c>
      <c r="K29" s="46" t="s">
        <v>601</v>
      </c>
      <c r="L29" s="38"/>
      <c r="M29" s="38"/>
    </row>
    <row r="30" s="31" customFormat="1" customHeight="1" spans="1:13">
      <c r="A30" s="34">
        <v>42</v>
      </c>
      <c r="B30" s="34">
        <v>1705101</v>
      </c>
      <c r="C30" s="34" t="s">
        <v>17</v>
      </c>
      <c r="D30" s="34">
        <v>170510105</v>
      </c>
      <c r="E30" s="38">
        <v>1</v>
      </c>
      <c r="F30" s="38" t="s">
        <v>70</v>
      </c>
      <c r="G30" s="38">
        <v>2</v>
      </c>
      <c r="H30" s="40">
        <v>36121</v>
      </c>
      <c r="I30" s="124" t="s">
        <v>602</v>
      </c>
      <c r="J30" s="40" t="s">
        <v>603</v>
      </c>
      <c r="K30" s="46" t="s">
        <v>604</v>
      </c>
      <c r="L30" s="38"/>
      <c r="M30" s="38"/>
    </row>
    <row r="31" s="31" customFormat="1" customHeight="1" spans="1:13">
      <c r="A31" s="34">
        <v>42</v>
      </c>
      <c r="B31" s="34">
        <v>1705101</v>
      </c>
      <c r="C31" s="34" t="s">
        <v>17</v>
      </c>
      <c r="D31" s="34">
        <v>170510106</v>
      </c>
      <c r="E31" s="38">
        <v>1</v>
      </c>
      <c r="F31" s="38" t="s">
        <v>72</v>
      </c>
      <c r="G31" s="38">
        <v>2</v>
      </c>
      <c r="H31" s="40">
        <v>36111</v>
      </c>
      <c r="I31" s="45">
        <v>411400</v>
      </c>
      <c r="J31" s="40" t="s">
        <v>605</v>
      </c>
      <c r="K31" s="46" t="s">
        <v>606</v>
      </c>
      <c r="L31" s="38"/>
      <c r="M31" s="38"/>
    </row>
    <row r="32" s="31" customFormat="1" customHeight="1" spans="1:13">
      <c r="A32" s="34">
        <v>42</v>
      </c>
      <c r="B32" s="34">
        <v>1705101</v>
      </c>
      <c r="C32" s="34" t="s">
        <v>17</v>
      </c>
      <c r="D32" s="34">
        <v>170510107</v>
      </c>
      <c r="E32" s="38">
        <v>1</v>
      </c>
      <c r="F32" s="38" t="s">
        <v>74</v>
      </c>
      <c r="G32" s="38">
        <v>2</v>
      </c>
      <c r="H32" s="40">
        <v>36234</v>
      </c>
      <c r="I32" s="124" t="s">
        <v>565</v>
      </c>
      <c r="J32" s="40" t="s">
        <v>607</v>
      </c>
      <c r="K32" s="46" t="s">
        <v>608</v>
      </c>
      <c r="L32" s="38"/>
      <c r="M32" s="38"/>
    </row>
    <row r="33" s="31" customFormat="1" customHeight="1" spans="1:13">
      <c r="A33" s="34">
        <v>42</v>
      </c>
      <c r="B33" s="34">
        <v>1705101</v>
      </c>
      <c r="C33" s="34" t="s">
        <v>17</v>
      </c>
      <c r="D33" s="34">
        <v>170510108</v>
      </c>
      <c r="E33" s="38">
        <v>1</v>
      </c>
      <c r="F33" s="38" t="s">
        <v>76</v>
      </c>
      <c r="G33" s="38">
        <v>2</v>
      </c>
      <c r="H33" s="40">
        <v>36351</v>
      </c>
      <c r="I33" s="124" t="s">
        <v>554</v>
      </c>
      <c r="J33" s="40" t="s">
        <v>609</v>
      </c>
      <c r="K33" s="46" t="s">
        <v>610</v>
      </c>
      <c r="L33" s="38"/>
      <c r="M33" s="38"/>
    </row>
    <row r="34" s="31" customFormat="1" customHeight="1" spans="1:13">
      <c r="A34" s="34">
        <v>42</v>
      </c>
      <c r="B34" s="34">
        <v>1705101</v>
      </c>
      <c r="C34" s="34" t="s">
        <v>17</v>
      </c>
      <c r="D34" s="34">
        <v>170510109</v>
      </c>
      <c r="E34" s="38">
        <v>1</v>
      </c>
      <c r="F34" s="38" t="s">
        <v>78</v>
      </c>
      <c r="G34" s="38">
        <v>2</v>
      </c>
      <c r="H34" s="40">
        <v>36399</v>
      </c>
      <c r="I34" s="45">
        <v>321300</v>
      </c>
      <c r="J34" s="40" t="s">
        <v>611</v>
      </c>
      <c r="K34" s="46" t="s">
        <v>612</v>
      </c>
      <c r="L34" s="38"/>
      <c r="M34" s="38"/>
    </row>
    <row r="35" s="31" customFormat="1" customHeight="1" spans="1:13">
      <c r="A35" s="34">
        <v>42</v>
      </c>
      <c r="B35" s="34">
        <v>1705101</v>
      </c>
      <c r="C35" s="34" t="s">
        <v>17</v>
      </c>
      <c r="D35" s="34">
        <v>170510110</v>
      </c>
      <c r="E35" s="38">
        <v>1</v>
      </c>
      <c r="F35" s="38" t="s">
        <v>80</v>
      </c>
      <c r="G35" s="38">
        <v>2</v>
      </c>
      <c r="H35" s="40">
        <v>36344</v>
      </c>
      <c r="I35" s="124" t="s">
        <v>565</v>
      </c>
      <c r="J35" s="40" t="s">
        <v>613</v>
      </c>
      <c r="K35" s="46" t="s">
        <v>614</v>
      </c>
      <c r="L35" s="38"/>
      <c r="M35" s="38"/>
    </row>
    <row r="36" s="31" customFormat="1" customHeight="1" spans="1:13">
      <c r="A36" s="34">
        <v>42</v>
      </c>
      <c r="B36" s="34">
        <v>1705101</v>
      </c>
      <c r="C36" s="34" t="s">
        <v>17</v>
      </c>
      <c r="D36" s="34">
        <v>170510111</v>
      </c>
      <c r="E36" s="38">
        <v>1</v>
      </c>
      <c r="F36" s="38" t="s">
        <v>82</v>
      </c>
      <c r="G36" s="38">
        <v>2</v>
      </c>
      <c r="H36" s="40">
        <v>36526</v>
      </c>
      <c r="I36" s="45">
        <v>342400</v>
      </c>
      <c r="J36" s="40" t="s">
        <v>615</v>
      </c>
      <c r="K36" s="46" t="s">
        <v>616</v>
      </c>
      <c r="L36" s="38"/>
      <c r="M36" s="38"/>
    </row>
    <row r="37" s="31" customFormat="1" customHeight="1" spans="1:13">
      <c r="A37" s="34">
        <v>42</v>
      </c>
      <c r="B37" s="34">
        <v>1705101</v>
      </c>
      <c r="C37" s="34" t="s">
        <v>17</v>
      </c>
      <c r="D37" s="34">
        <v>170510113</v>
      </c>
      <c r="E37" s="38">
        <v>1</v>
      </c>
      <c r="F37" s="38" t="s">
        <v>84</v>
      </c>
      <c r="G37" s="38">
        <v>2</v>
      </c>
      <c r="H37" s="40">
        <v>36305</v>
      </c>
      <c r="I37" s="124" t="s">
        <v>602</v>
      </c>
      <c r="J37" s="40" t="s">
        <v>617</v>
      </c>
      <c r="K37" s="46" t="s">
        <v>618</v>
      </c>
      <c r="L37" s="38"/>
      <c r="M37" s="38"/>
    </row>
    <row r="38" customHeight="1" spans="1:13">
      <c r="A38" s="34">
        <v>42</v>
      </c>
      <c r="B38" s="34">
        <v>1705102</v>
      </c>
      <c r="C38" s="34" t="s">
        <v>86</v>
      </c>
      <c r="D38" s="34">
        <v>170510201</v>
      </c>
      <c r="E38" s="34">
        <v>1</v>
      </c>
      <c r="F38" s="34" t="s">
        <v>619</v>
      </c>
      <c r="G38" s="34">
        <v>2</v>
      </c>
      <c r="H38" s="42" t="s">
        <v>620</v>
      </c>
      <c r="I38" s="45">
        <v>331000</v>
      </c>
      <c r="J38" s="48" t="s">
        <v>621</v>
      </c>
      <c r="K38" s="34" t="s">
        <v>622</v>
      </c>
      <c r="L38" s="34"/>
      <c r="M38" s="38"/>
    </row>
    <row r="39" customHeight="1" spans="1:13">
      <c r="A39" s="34">
        <v>42</v>
      </c>
      <c r="B39" s="34">
        <v>1705102</v>
      </c>
      <c r="C39" s="34" t="s">
        <v>86</v>
      </c>
      <c r="D39" s="34">
        <v>170510202</v>
      </c>
      <c r="E39" s="34">
        <v>1</v>
      </c>
      <c r="F39" s="34" t="s">
        <v>623</v>
      </c>
      <c r="G39" s="34">
        <v>2</v>
      </c>
      <c r="H39" s="34" t="s">
        <v>624</v>
      </c>
      <c r="I39" s="45">
        <v>320300</v>
      </c>
      <c r="J39" s="48" t="s">
        <v>625</v>
      </c>
      <c r="K39" s="34" t="s">
        <v>626</v>
      </c>
      <c r="L39" s="34"/>
      <c r="M39" s="38"/>
    </row>
    <row r="40" customHeight="1" spans="1:13">
      <c r="A40" s="34">
        <v>42</v>
      </c>
      <c r="B40" s="34">
        <v>1705102</v>
      </c>
      <c r="C40" s="34" t="s">
        <v>86</v>
      </c>
      <c r="D40" s="34">
        <v>170510203</v>
      </c>
      <c r="E40" s="34">
        <v>1</v>
      </c>
      <c r="F40" s="34" t="s">
        <v>627</v>
      </c>
      <c r="G40" s="34">
        <v>2</v>
      </c>
      <c r="H40" s="34" t="s">
        <v>628</v>
      </c>
      <c r="I40" s="45">
        <v>320200</v>
      </c>
      <c r="J40" s="48" t="s">
        <v>629</v>
      </c>
      <c r="K40" s="34" t="s">
        <v>630</v>
      </c>
      <c r="L40" s="34"/>
      <c r="M40" s="38"/>
    </row>
    <row r="41" customHeight="1" spans="1:13">
      <c r="A41" s="34">
        <v>42</v>
      </c>
      <c r="B41" s="34">
        <v>1705102</v>
      </c>
      <c r="C41" s="34" t="s">
        <v>86</v>
      </c>
      <c r="D41" s="34">
        <v>170510204</v>
      </c>
      <c r="E41" s="34">
        <v>1</v>
      </c>
      <c r="F41" s="34" t="s">
        <v>631</v>
      </c>
      <c r="G41" s="34">
        <v>2</v>
      </c>
      <c r="H41" s="34" t="s">
        <v>632</v>
      </c>
      <c r="I41" s="124" t="s">
        <v>579</v>
      </c>
      <c r="J41" s="48" t="s">
        <v>633</v>
      </c>
      <c r="K41" s="34" t="s">
        <v>634</v>
      </c>
      <c r="L41" s="34"/>
      <c r="M41" s="38"/>
    </row>
    <row r="42" customHeight="1" spans="1:13">
      <c r="A42" s="34">
        <v>42</v>
      </c>
      <c r="B42" s="34">
        <v>1705102</v>
      </c>
      <c r="C42" s="34" t="s">
        <v>86</v>
      </c>
      <c r="D42" s="34">
        <v>170510206</v>
      </c>
      <c r="E42" s="34">
        <v>1</v>
      </c>
      <c r="F42" s="34" t="s">
        <v>635</v>
      </c>
      <c r="G42" s="34">
        <v>2</v>
      </c>
      <c r="H42" s="34" t="s">
        <v>636</v>
      </c>
      <c r="I42" s="45">
        <v>360100</v>
      </c>
      <c r="J42" s="48" t="s">
        <v>637</v>
      </c>
      <c r="K42" s="34" t="s">
        <v>638</v>
      </c>
      <c r="L42" s="34"/>
      <c r="M42" s="38"/>
    </row>
    <row r="43" customHeight="1" spans="1:13">
      <c r="A43" s="34">
        <v>42</v>
      </c>
      <c r="B43" s="34">
        <v>1705102</v>
      </c>
      <c r="C43" s="34" t="s">
        <v>86</v>
      </c>
      <c r="D43" s="34">
        <v>170510207</v>
      </c>
      <c r="E43" s="34">
        <v>1</v>
      </c>
      <c r="F43" s="34" t="s">
        <v>639</v>
      </c>
      <c r="G43" s="34">
        <v>2</v>
      </c>
      <c r="H43" s="34" t="s">
        <v>640</v>
      </c>
      <c r="I43" s="124" t="s">
        <v>554</v>
      </c>
      <c r="J43" s="48" t="s">
        <v>641</v>
      </c>
      <c r="K43" s="34" t="s">
        <v>642</v>
      </c>
      <c r="L43" s="34"/>
      <c r="M43" s="38"/>
    </row>
    <row r="44" customHeight="1" spans="1:13">
      <c r="A44" s="34">
        <v>42</v>
      </c>
      <c r="B44" s="34">
        <v>1705102</v>
      </c>
      <c r="C44" s="34" t="s">
        <v>86</v>
      </c>
      <c r="D44" s="34">
        <v>170510208</v>
      </c>
      <c r="E44" s="34">
        <v>1</v>
      </c>
      <c r="F44" s="34" t="s">
        <v>643</v>
      </c>
      <c r="G44" s="34">
        <v>2</v>
      </c>
      <c r="H44" s="34" t="s">
        <v>640</v>
      </c>
      <c r="I44" s="45">
        <v>321200</v>
      </c>
      <c r="J44" s="48" t="s">
        <v>644</v>
      </c>
      <c r="K44" s="34" t="s">
        <v>645</v>
      </c>
      <c r="L44" s="34"/>
      <c r="M44" s="38"/>
    </row>
    <row r="45" customHeight="1" spans="1:13">
      <c r="A45" s="34">
        <v>42</v>
      </c>
      <c r="B45" s="34">
        <v>1705102</v>
      </c>
      <c r="C45" s="34" t="s">
        <v>86</v>
      </c>
      <c r="D45" s="34">
        <v>170510209</v>
      </c>
      <c r="E45" s="34">
        <v>1</v>
      </c>
      <c r="F45" s="34" t="s">
        <v>646</v>
      </c>
      <c r="G45" s="34">
        <v>2</v>
      </c>
      <c r="H45" s="34" t="s">
        <v>647</v>
      </c>
      <c r="I45" s="45">
        <v>412700</v>
      </c>
      <c r="J45" s="48" t="s">
        <v>648</v>
      </c>
      <c r="K45" s="34" t="s">
        <v>649</v>
      </c>
      <c r="L45" s="34"/>
      <c r="M45" s="38"/>
    </row>
    <row r="46" customHeight="1" spans="1:13">
      <c r="A46" s="34">
        <v>42</v>
      </c>
      <c r="B46" s="34">
        <v>1705102</v>
      </c>
      <c r="C46" s="34" t="s">
        <v>86</v>
      </c>
      <c r="D46" s="34">
        <v>170510210</v>
      </c>
      <c r="E46" s="34">
        <v>1</v>
      </c>
      <c r="F46" s="34" t="s">
        <v>650</v>
      </c>
      <c r="G46" s="34">
        <v>2</v>
      </c>
      <c r="H46" s="34" t="s">
        <v>651</v>
      </c>
      <c r="I46" s="124" t="s">
        <v>579</v>
      </c>
      <c r="J46" s="48" t="s">
        <v>652</v>
      </c>
      <c r="K46" s="34" t="s">
        <v>653</v>
      </c>
      <c r="L46" s="34"/>
      <c r="M46" s="38"/>
    </row>
    <row r="47" customHeight="1" spans="1:13">
      <c r="A47" s="34">
        <v>42</v>
      </c>
      <c r="B47" s="34">
        <v>1705102</v>
      </c>
      <c r="C47" s="34" t="s">
        <v>86</v>
      </c>
      <c r="D47" s="34">
        <v>170510211</v>
      </c>
      <c r="E47" s="34">
        <v>1</v>
      </c>
      <c r="F47" s="34" t="s">
        <v>654</v>
      </c>
      <c r="G47" s="34">
        <v>2</v>
      </c>
      <c r="H47" s="34" t="s">
        <v>655</v>
      </c>
      <c r="I47" s="45">
        <v>330700</v>
      </c>
      <c r="J47" s="48" t="s">
        <v>656</v>
      </c>
      <c r="K47" s="34" t="s">
        <v>657</v>
      </c>
      <c r="L47" s="34"/>
      <c r="M47" s="38"/>
    </row>
    <row r="48" customHeight="1" spans="1:13">
      <c r="A48" s="34">
        <v>42</v>
      </c>
      <c r="B48" s="34">
        <v>1705102</v>
      </c>
      <c r="C48" s="34" t="s">
        <v>86</v>
      </c>
      <c r="D48" s="34">
        <v>170510212</v>
      </c>
      <c r="E48" s="34">
        <v>1</v>
      </c>
      <c r="F48" s="34" t="s">
        <v>658</v>
      </c>
      <c r="G48" s="34">
        <v>2</v>
      </c>
      <c r="H48" s="34" t="s">
        <v>659</v>
      </c>
      <c r="I48" s="45">
        <v>320500</v>
      </c>
      <c r="J48" s="48" t="s">
        <v>660</v>
      </c>
      <c r="K48" s="34" t="s">
        <v>661</v>
      </c>
      <c r="L48" s="34"/>
      <c r="M48" s="38"/>
    </row>
    <row r="49" customHeight="1" spans="1:13">
      <c r="A49" s="34">
        <v>42</v>
      </c>
      <c r="B49" s="34">
        <v>1705102</v>
      </c>
      <c r="C49" s="34" t="s">
        <v>86</v>
      </c>
      <c r="D49" s="34">
        <v>170510213</v>
      </c>
      <c r="E49" s="34">
        <v>1</v>
      </c>
      <c r="F49" s="34" t="s">
        <v>662</v>
      </c>
      <c r="G49" s="34">
        <v>2</v>
      </c>
      <c r="H49" s="34" t="s">
        <v>663</v>
      </c>
      <c r="I49" s="45">
        <v>320700</v>
      </c>
      <c r="J49" s="48" t="s">
        <v>664</v>
      </c>
      <c r="K49" s="34" t="s">
        <v>665</v>
      </c>
      <c r="L49" s="34"/>
      <c r="M49" s="38"/>
    </row>
    <row r="50" customHeight="1" spans="1:13">
      <c r="A50" s="34">
        <v>42</v>
      </c>
      <c r="B50" s="34">
        <v>1705102</v>
      </c>
      <c r="C50" s="34" t="s">
        <v>86</v>
      </c>
      <c r="D50" s="34">
        <v>170510214</v>
      </c>
      <c r="E50" s="34">
        <v>1</v>
      </c>
      <c r="F50" s="34" t="s">
        <v>666</v>
      </c>
      <c r="G50" s="34">
        <v>2</v>
      </c>
      <c r="H50" s="34" t="s">
        <v>667</v>
      </c>
      <c r="I50" s="45">
        <v>332500</v>
      </c>
      <c r="J50" s="48" t="s">
        <v>668</v>
      </c>
      <c r="K50" s="34" t="s">
        <v>669</v>
      </c>
      <c r="L50" s="34"/>
      <c r="M50" s="38"/>
    </row>
    <row r="51" customHeight="1" spans="1:13">
      <c r="A51" s="34">
        <v>42</v>
      </c>
      <c r="B51" s="34">
        <v>1705102</v>
      </c>
      <c r="C51" s="34" t="s">
        <v>86</v>
      </c>
      <c r="D51" s="34">
        <v>170510215</v>
      </c>
      <c r="E51" s="34">
        <v>1</v>
      </c>
      <c r="F51" s="34" t="s">
        <v>670</v>
      </c>
      <c r="G51" s="34">
        <v>2</v>
      </c>
      <c r="H51" s="34" t="s">
        <v>671</v>
      </c>
      <c r="I51" s="45">
        <v>320800</v>
      </c>
      <c r="J51" s="48" t="s">
        <v>672</v>
      </c>
      <c r="K51" s="34" t="s">
        <v>673</v>
      </c>
      <c r="L51" s="34"/>
      <c r="M51" s="38"/>
    </row>
    <row r="52" customHeight="1" spans="1:13">
      <c r="A52" s="34">
        <v>42</v>
      </c>
      <c r="B52" s="34">
        <v>1705102</v>
      </c>
      <c r="C52" s="34" t="s">
        <v>86</v>
      </c>
      <c r="D52" s="34">
        <v>170510216</v>
      </c>
      <c r="E52" s="34">
        <v>1</v>
      </c>
      <c r="F52" s="34" t="s">
        <v>674</v>
      </c>
      <c r="G52" s="34">
        <v>2</v>
      </c>
      <c r="H52" s="34" t="s">
        <v>675</v>
      </c>
      <c r="I52" s="124" t="s">
        <v>542</v>
      </c>
      <c r="J52" s="48" t="s">
        <v>676</v>
      </c>
      <c r="K52" s="34" t="s">
        <v>677</v>
      </c>
      <c r="L52" s="34"/>
      <c r="M52" s="38"/>
    </row>
    <row r="53" customHeight="1" spans="1:13">
      <c r="A53" s="34">
        <v>42</v>
      </c>
      <c r="B53" s="34">
        <v>1705102</v>
      </c>
      <c r="C53" s="34" t="s">
        <v>86</v>
      </c>
      <c r="D53" s="34">
        <v>170510217</v>
      </c>
      <c r="E53" s="34">
        <v>1</v>
      </c>
      <c r="F53" s="34" t="s">
        <v>678</v>
      </c>
      <c r="G53" s="34">
        <v>2</v>
      </c>
      <c r="H53" s="42" t="s">
        <v>679</v>
      </c>
      <c r="I53" s="124" t="s">
        <v>602</v>
      </c>
      <c r="J53" s="126" t="s">
        <v>680</v>
      </c>
      <c r="K53" s="34" t="s">
        <v>681</v>
      </c>
      <c r="L53" s="34"/>
      <c r="M53" s="38"/>
    </row>
    <row r="54" customHeight="1" spans="1:13">
      <c r="A54" s="34">
        <v>42</v>
      </c>
      <c r="B54" s="34">
        <v>1705102</v>
      </c>
      <c r="C54" s="34" t="s">
        <v>86</v>
      </c>
      <c r="D54" s="34">
        <v>170510218</v>
      </c>
      <c r="E54" s="34">
        <v>1</v>
      </c>
      <c r="F54" s="34" t="s">
        <v>682</v>
      </c>
      <c r="G54" s="34">
        <v>2</v>
      </c>
      <c r="H54" s="34" t="s">
        <v>683</v>
      </c>
      <c r="I54" s="124" t="s">
        <v>684</v>
      </c>
      <c r="J54" s="48" t="s">
        <v>685</v>
      </c>
      <c r="K54" s="34" t="s">
        <v>686</v>
      </c>
      <c r="L54" s="34"/>
      <c r="M54" s="38"/>
    </row>
    <row r="55" customHeight="1" spans="1:13">
      <c r="A55" s="34">
        <v>42</v>
      </c>
      <c r="B55" s="34">
        <v>1705102</v>
      </c>
      <c r="C55" s="34" t="s">
        <v>86</v>
      </c>
      <c r="D55" s="34">
        <v>170510219</v>
      </c>
      <c r="E55" s="34">
        <v>1</v>
      </c>
      <c r="F55" s="34" t="s">
        <v>687</v>
      </c>
      <c r="G55" s="34">
        <v>2</v>
      </c>
      <c r="H55" s="34" t="s">
        <v>688</v>
      </c>
      <c r="I55" s="45">
        <v>330100</v>
      </c>
      <c r="J55" s="48" t="s">
        <v>689</v>
      </c>
      <c r="K55" s="34" t="s">
        <v>690</v>
      </c>
      <c r="L55" s="34"/>
      <c r="M55" s="38"/>
    </row>
    <row r="56" customHeight="1" spans="1:13">
      <c r="A56" s="34">
        <v>42</v>
      </c>
      <c r="B56" s="34">
        <v>1705102</v>
      </c>
      <c r="C56" s="34" t="s">
        <v>86</v>
      </c>
      <c r="D56" s="34">
        <v>170510220</v>
      </c>
      <c r="E56" s="34">
        <v>1</v>
      </c>
      <c r="F56" s="34" t="s">
        <v>691</v>
      </c>
      <c r="G56" s="34">
        <v>2</v>
      </c>
      <c r="H56" s="34" t="s">
        <v>692</v>
      </c>
      <c r="I56" s="45">
        <v>330500</v>
      </c>
      <c r="J56" s="48" t="s">
        <v>693</v>
      </c>
      <c r="K56" s="34" t="s">
        <v>694</v>
      </c>
      <c r="L56" s="34"/>
      <c r="M56" s="38"/>
    </row>
    <row r="57" customHeight="1" spans="1:13">
      <c r="A57" s="34">
        <v>42</v>
      </c>
      <c r="B57" s="34">
        <v>1705102</v>
      </c>
      <c r="C57" s="34" t="s">
        <v>86</v>
      </c>
      <c r="D57" s="34">
        <v>170510221</v>
      </c>
      <c r="E57" s="34">
        <v>1</v>
      </c>
      <c r="F57" s="34" t="s">
        <v>695</v>
      </c>
      <c r="G57" s="34">
        <v>2</v>
      </c>
      <c r="H57" s="34" t="s">
        <v>696</v>
      </c>
      <c r="I57" s="45">
        <v>321100</v>
      </c>
      <c r="J57" s="48" t="s">
        <v>697</v>
      </c>
      <c r="K57" s="34" t="s">
        <v>698</v>
      </c>
      <c r="L57" s="34"/>
      <c r="M57" s="38"/>
    </row>
    <row r="58" customHeight="1" spans="1:13">
      <c r="A58" s="34">
        <v>42</v>
      </c>
      <c r="B58" s="34">
        <v>1705102</v>
      </c>
      <c r="C58" s="34" t="s">
        <v>86</v>
      </c>
      <c r="D58" s="34">
        <v>170510222</v>
      </c>
      <c r="E58" s="34">
        <v>1</v>
      </c>
      <c r="F58" s="34" t="s">
        <v>699</v>
      </c>
      <c r="G58" s="34">
        <v>2</v>
      </c>
      <c r="H58" s="34" t="s">
        <v>700</v>
      </c>
      <c r="I58" s="45">
        <v>330700</v>
      </c>
      <c r="J58" s="48" t="s">
        <v>701</v>
      </c>
      <c r="K58" s="34" t="s">
        <v>702</v>
      </c>
      <c r="L58" s="34"/>
      <c r="M58" s="38"/>
    </row>
    <row r="59" customHeight="1" spans="1:13">
      <c r="A59" s="34">
        <v>42</v>
      </c>
      <c r="B59" s="34">
        <v>1705102</v>
      </c>
      <c r="C59" s="34" t="s">
        <v>86</v>
      </c>
      <c r="D59" s="34">
        <v>170510223</v>
      </c>
      <c r="E59" s="34">
        <v>1</v>
      </c>
      <c r="F59" s="34" t="s">
        <v>703</v>
      </c>
      <c r="G59" s="34">
        <v>2</v>
      </c>
      <c r="H59" s="34" t="s">
        <v>704</v>
      </c>
      <c r="I59" s="124" t="s">
        <v>705</v>
      </c>
      <c r="J59" s="48" t="s">
        <v>706</v>
      </c>
      <c r="K59" s="34" t="s">
        <v>707</v>
      </c>
      <c r="L59" s="34"/>
      <c r="M59" s="38"/>
    </row>
    <row r="60" customHeight="1" spans="1:13">
      <c r="A60" s="34">
        <v>42</v>
      </c>
      <c r="B60" s="34">
        <v>1705102</v>
      </c>
      <c r="C60" s="34" t="s">
        <v>86</v>
      </c>
      <c r="D60" s="34">
        <v>170510224</v>
      </c>
      <c r="E60" s="34">
        <v>1</v>
      </c>
      <c r="F60" s="34" t="s">
        <v>708</v>
      </c>
      <c r="G60" s="34">
        <v>2</v>
      </c>
      <c r="H60" s="34" t="s">
        <v>709</v>
      </c>
      <c r="I60" s="45">
        <v>330900</v>
      </c>
      <c r="J60" s="48" t="s">
        <v>710</v>
      </c>
      <c r="K60" s="34" t="s">
        <v>711</v>
      </c>
      <c r="L60" s="34"/>
      <c r="M60" s="38"/>
    </row>
    <row r="61" customHeight="1" spans="1:13">
      <c r="A61" s="34">
        <v>42</v>
      </c>
      <c r="B61" s="34">
        <v>1705102</v>
      </c>
      <c r="C61" s="34" t="s">
        <v>86</v>
      </c>
      <c r="D61" s="34">
        <v>170510225</v>
      </c>
      <c r="E61" s="34">
        <v>1</v>
      </c>
      <c r="F61" s="34" t="s">
        <v>712</v>
      </c>
      <c r="G61" s="34">
        <v>2</v>
      </c>
      <c r="H61" s="34" t="s">
        <v>713</v>
      </c>
      <c r="I61" s="45">
        <v>321200</v>
      </c>
      <c r="J61" s="48" t="s">
        <v>714</v>
      </c>
      <c r="K61" s="34" t="s">
        <v>715</v>
      </c>
      <c r="L61" s="34"/>
      <c r="M61" s="38"/>
    </row>
    <row r="62" customHeight="1" spans="1:13">
      <c r="A62" s="34">
        <v>42</v>
      </c>
      <c r="B62" s="34">
        <v>1705102</v>
      </c>
      <c r="C62" s="34" t="s">
        <v>86</v>
      </c>
      <c r="D62" s="34">
        <v>170510226</v>
      </c>
      <c r="E62" s="34">
        <v>1</v>
      </c>
      <c r="F62" s="34" t="s">
        <v>716</v>
      </c>
      <c r="G62" s="34">
        <v>2</v>
      </c>
      <c r="H62" s="42" t="s">
        <v>717</v>
      </c>
      <c r="I62" s="124" t="s">
        <v>539</v>
      </c>
      <c r="J62" s="127" t="s">
        <v>718</v>
      </c>
      <c r="K62" s="34" t="s">
        <v>719</v>
      </c>
      <c r="L62" s="34"/>
      <c r="M62" s="38"/>
    </row>
    <row r="63" customHeight="1" spans="1:13">
      <c r="A63" s="34">
        <v>42</v>
      </c>
      <c r="B63" s="34">
        <v>1705102</v>
      </c>
      <c r="C63" s="34" t="s">
        <v>86</v>
      </c>
      <c r="D63" s="34">
        <v>170510227</v>
      </c>
      <c r="E63" s="34">
        <v>1</v>
      </c>
      <c r="F63" s="34" t="s">
        <v>720</v>
      </c>
      <c r="G63" s="34">
        <v>2</v>
      </c>
      <c r="H63" s="34" t="s">
        <v>721</v>
      </c>
      <c r="I63" s="45">
        <v>341200</v>
      </c>
      <c r="J63" s="48" t="s">
        <v>722</v>
      </c>
      <c r="K63" s="34" t="s">
        <v>723</v>
      </c>
      <c r="L63" s="34"/>
      <c r="M63" s="38"/>
    </row>
    <row r="64" customHeight="1" spans="1:13">
      <c r="A64" s="34">
        <v>42</v>
      </c>
      <c r="B64" s="34">
        <v>1705102</v>
      </c>
      <c r="C64" s="34" t="s">
        <v>86</v>
      </c>
      <c r="D64" s="34">
        <v>170510228</v>
      </c>
      <c r="E64" s="34">
        <v>1</v>
      </c>
      <c r="F64" s="34" t="s">
        <v>724</v>
      </c>
      <c r="G64" s="34">
        <v>2</v>
      </c>
      <c r="H64" s="34" t="s">
        <v>725</v>
      </c>
      <c r="I64" s="45">
        <v>320200</v>
      </c>
      <c r="J64" s="48" t="s">
        <v>726</v>
      </c>
      <c r="K64" s="34" t="s">
        <v>727</v>
      </c>
      <c r="L64" s="34"/>
      <c r="M64" s="38"/>
    </row>
    <row r="65" customHeight="1" spans="1:13">
      <c r="A65" s="34">
        <v>42</v>
      </c>
      <c r="B65" s="34">
        <v>1705102</v>
      </c>
      <c r="C65" s="34" t="s">
        <v>86</v>
      </c>
      <c r="D65" s="34">
        <v>170510229</v>
      </c>
      <c r="E65" s="34">
        <v>22</v>
      </c>
      <c r="F65" s="34" t="s">
        <v>728</v>
      </c>
      <c r="G65" s="34">
        <v>2</v>
      </c>
      <c r="H65" s="34" t="s">
        <v>729</v>
      </c>
      <c r="I65" s="45">
        <v>332500</v>
      </c>
      <c r="J65" s="48" t="s">
        <v>730</v>
      </c>
      <c r="K65" s="34" t="s">
        <v>731</v>
      </c>
      <c r="L65" s="34"/>
      <c r="M65" s="38"/>
    </row>
    <row r="66" customHeight="1" spans="1:13">
      <c r="A66" s="34">
        <v>42</v>
      </c>
      <c r="B66" s="34">
        <v>1705102</v>
      </c>
      <c r="C66" s="34" t="s">
        <v>86</v>
      </c>
      <c r="D66" s="34">
        <v>170510230</v>
      </c>
      <c r="E66" s="34">
        <v>1</v>
      </c>
      <c r="F66" s="34" t="s">
        <v>732</v>
      </c>
      <c r="G66" s="34">
        <v>2</v>
      </c>
      <c r="H66" s="34" t="s">
        <v>733</v>
      </c>
      <c r="I66" s="124" t="s">
        <v>570</v>
      </c>
      <c r="J66" s="48" t="s">
        <v>734</v>
      </c>
      <c r="K66" s="34" t="s">
        <v>735</v>
      </c>
      <c r="L66" s="34"/>
      <c r="M66" s="38"/>
    </row>
    <row r="67" customHeight="1" spans="1:13">
      <c r="A67" s="34">
        <v>42</v>
      </c>
      <c r="B67" s="34">
        <v>1705102</v>
      </c>
      <c r="C67" s="34" t="s">
        <v>86</v>
      </c>
      <c r="D67" s="34">
        <v>170510231</v>
      </c>
      <c r="E67" s="34">
        <v>1</v>
      </c>
      <c r="F67" s="34" t="s">
        <v>736</v>
      </c>
      <c r="G67" s="34">
        <v>2</v>
      </c>
      <c r="H67" s="34" t="s">
        <v>737</v>
      </c>
      <c r="I67" s="45">
        <v>330300</v>
      </c>
      <c r="J67" s="48" t="s">
        <v>738</v>
      </c>
      <c r="K67" s="34" t="s">
        <v>739</v>
      </c>
      <c r="L67" s="34"/>
      <c r="M67" s="38"/>
    </row>
    <row r="68" customHeight="1" spans="1:13">
      <c r="A68" s="34">
        <v>42</v>
      </c>
      <c r="B68" s="34">
        <v>1705102</v>
      </c>
      <c r="C68" s="34" t="s">
        <v>86</v>
      </c>
      <c r="D68" s="34">
        <v>170510232</v>
      </c>
      <c r="E68" s="34">
        <v>1</v>
      </c>
      <c r="F68" s="34" t="s">
        <v>740</v>
      </c>
      <c r="G68" s="34">
        <v>1</v>
      </c>
      <c r="H68" s="34" t="s">
        <v>741</v>
      </c>
      <c r="I68" s="45">
        <v>410900</v>
      </c>
      <c r="J68" s="48" t="s">
        <v>742</v>
      </c>
      <c r="K68" s="34" t="s">
        <v>743</v>
      </c>
      <c r="L68" s="34"/>
      <c r="M68" s="38"/>
    </row>
    <row r="69" customHeight="1" spans="1:13">
      <c r="A69" s="34">
        <v>42</v>
      </c>
      <c r="B69" s="34">
        <v>1705102</v>
      </c>
      <c r="C69" s="34" t="s">
        <v>86</v>
      </c>
      <c r="D69" s="34">
        <v>170510233</v>
      </c>
      <c r="E69" s="34">
        <v>1</v>
      </c>
      <c r="F69" s="34" t="s">
        <v>744</v>
      </c>
      <c r="G69" s="34">
        <v>1</v>
      </c>
      <c r="H69" s="34" t="s">
        <v>745</v>
      </c>
      <c r="I69" s="124" t="s">
        <v>602</v>
      </c>
      <c r="J69" s="48" t="s">
        <v>746</v>
      </c>
      <c r="K69" s="34" t="s">
        <v>747</v>
      </c>
      <c r="L69" s="34"/>
      <c r="M69" s="38"/>
    </row>
    <row r="70" customHeight="1" spans="1:13">
      <c r="A70" s="34">
        <v>42</v>
      </c>
      <c r="B70" s="34">
        <v>1705102</v>
      </c>
      <c r="C70" s="34" t="s">
        <v>86</v>
      </c>
      <c r="D70" s="34">
        <v>170510234</v>
      </c>
      <c r="E70" s="34">
        <v>1</v>
      </c>
      <c r="F70" s="34" t="s">
        <v>748</v>
      </c>
      <c r="G70" s="34">
        <v>1</v>
      </c>
      <c r="H70" s="34" t="s">
        <v>749</v>
      </c>
      <c r="I70" s="45">
        <v>330300</v>
      </c>
      <c r="J70" s="128" t="s">
        <v>750</v>
      </c>
      <c r="K70" s="34" t="s">
        <v>751</v>
      </c>
      <c r="L70" s="34"/>
      <c r="M70" s="38"/>
    </row>
    <row r="71" customHeight="1" spans="1:13">
      <c r="A71" s="34">
        <v>42</v>
      </c>
      <c r="B71" s="34">
        <v>1705102</v>
      </c>
      <c r="C71" s="34" t="s">
        <v>86</v>
      </c>
      <c r="D71" s="34">
        <v>170510236</v>
      </c>
      <c r="E71" s="34">
        <v>1</v>
      </c>
      <c r="F71" s="34" t="s">
        <v>752</v>
      </c>
      <c r="G71" s="34">
        <v>1</v>
      </c>
      <c r="H71" s="34" t="s">
        <v>753</v>
      </c>
      <c r="I71" s="45">
        <v>412700</v>
      </c>
      <c r="J71" s="48" t="s">
        <v>754</v>
      </c>
      <c r="K71" s="34" t="s">
        <v>755</v>
      </c>
      <c r="L71" s="34"/>
      <c r="M71" s="38"/>
    </row>
    <row r="72" customHeight="1" spans="1:13">
      <c r="A72" s="34">
        <v>42</v>
      </c>
      <c r="B72" s="34">
        <v>1705102</v>
      </c>
      <c r="C72" s="34" t="s">
        <v>86</v>
      </c>
      <c r="D72" s="34">
        <v>170510237</v>
      </c>
      <c r="E72" s="34">
        <v>1</v>
      </c>
      <c r="F72" s="34" t="s">
        <v>756</v>
      </c>
      <c r="G72" s="34">
        <v>1</v>
      </c>
      <c r="H72" s="34" t="s">
        <v>757</v>
      </c>
      <c r="I72" s="124" t="s">
        <v>554</v>
      </c>
      <c r="J72" s="48" t="s">
        <v>758</v>
      </c>
      <c r="K72" s="34" t="s">
        <v>759</v>
      </c>
      <c r="L72" s="34"/>
      <c r="M72" s="38"/>
    </row>
    <row r="73" customHeight="1" spans="1:13">
      <c r="A73" s="34">
        <v>42</v>
      </c>
      <c r="B73" s="34">
        <v>1705102</v>
      </c>
      <c r="C73" s="34" t="s">
        <v>86</v>
      </c>
      <c r="D73" s="34">
        <v>170510238</v>
      </c>
      <c r="E73" s="34">
        <v>1</v>
      </c>
      <c r="F73" s="34" t="s">
        <v>760</v>
      </c>
      <c r="G73" s="34">
        <v>2</v>
      </c>
      <c r="H73" s="50">
        <v>36174</v>
      </c>
      <c r="I73" s="45">
        <v>330100</v>
      </c>
      <c r="J73" s="48" t="s">
        <v>761</v>
      </c>
      <c r="K73" s="34" t="s">
        <v>762</v>
      </c>
      <c r="L73" s="34"/>
      <c r="M73" s="38"/>
    </row>
    <row r="74" customHeight="1" spans="1:13">
      <c r="A74" s="34">
        <v>42</v>
      </c>
      <c r="B74" s="34">
        <v>1705103</v>
      </c>
      <c r="C74" s="34" t="s">
        <v>142</v>
      </c>
      <c r="D74" s="34">
        <v>170510302</v>
      </c>
      <c r="E74" s="34">
        <v>1</v>
      </c>
      <c r="F74" s="34" t="s">
        <v>173</v>
      </c>
      <c r="G74" s="34">
        <v>2</v>
      </c>
      <c r="H74" s="42">
        <v>36419</v>
      </c>
      <c r="I74" s="124" t="s">
        <v>554</v>
      </c>
      <c r="J74" s="41" t="s">
        <v>763</v>
      </c>
      <c r="K74" s="34" t="s">
        <v>764</v>
      </c>
      <c r="L74" s="38"/>
      <c r="M74" s="38"/>
    </row>
    <row r="75" customHeight="1" spans="1:13">
      <c r="A75" s="34">
        <v>42</v>
      </c>
      <c r="B75" s="34">
        <v>1705103</v>
      </c>
      <c r="C75" s="34" t="s">
        <v>142</v>
      </c>
      <c r="D75" s="34">
        <v>170510301</v>
      </c>
      <c r="E75" s="34">
        <v>1</v>
      </c>
      <c r="F75" s="34" t="s">
        <v>172</v>
      </c>
      <c r="G75" s="34">
        <v>2</v>
      </c>
      <c r="H75" s="42">
        <v>36125</v>
      </c>
      <c r="I75" s="45">
        <v>320900</v>
      </c>
      <c r="J75" s="48" t="s">
        <v>765</v>
      </c>
      <c r="K75" s="34" t="s">
        <v>766</v>
      </c>
      <c r="L75" s="38"/>
      <c r="M75" s="38"/>
    </row>
    <row r="76" customHeight="1" spans="1:13">
      <c r="A76" s="34">
        <v>42</v>
      </c>
      <c r="B76" s="34">
        <v>1705103</v>
      </c>
      <c r="C76" s="34" t="s">
        <v>142</v>
      </c>
      <c r="D76" s="34">
        <v>170510303</v>
      </c>
      <c r="E76" s="34">
        <v>1</v>
      </c>
      <c r="F76" s="34" t="s">
        <v>174</v>
      </c>
      <c r="G76" s="34">
        <v>2</v>
      </c>
      <c r="H76" s="42">
        <v>36319</v>
      </c>
      <c r="I76" s="124" t="s">
        <v>554</v>
      </c>
      <c r="J76" s="48" t="s">
        <v>767</v>
      </c>
      <c r="K76" s="34" t="s">
        <v>768</v>
      </c>
      <c r="L76" s="38"/>
      <c r="M76" s="38"/>
    </row>
    <row r="77" customHeight="1" spans="1:13">
      <c r="A77" s="34">
        <v>42</v>
      </c>
      <c r="B77" s="34">
        <v>1705103</v>
      </c>
      <c r="C77" s="34" t="s">
        <v>142</v>
      </c>
      <c r="D77" s="34">
        <v>170510304</v>
      </c>
      <c r="E77" s="34">
        <v>1</v>
      </c>
      <c r="F77" s="34" t="s">
        <v>176</v>
      </c>
      <c r="G77" s="34">
        <v>2</v>
      </c>
      <c r="H77" s="42">
        <v>36520</v>
      </c>
      <c r="I77" s="45">
        <v>320100</v>
      </c>
      <c r="J77" s="48" t="s">
        <v>769</v>
      </c>
      <c r="K77" s="34" t="s">
        <v>770</v>
      </c>
      <c r="L77" s="38"/>
      <c r="M77" s="38"/>
    </row>
    <row r="78" customHeight="1" spans="1:13">
      <c r="A78" s="34">
        <v>42</v>
      </c>
      <c r="B78" s="34">
        <v>1705103</v>
      </c>
      <c r="C78" s="34" t="s">
        <v>142</v>
      </c>
      <c r="D78" s="34">
        <v>170510305</v>
      </c>
      <c r="E78" s="34">
        <v>1</v>
      </c>
      <c r="F78" s="34" t="s">
        <v>178</v>
      </c>
      <c r="G78" s="34">
        <v>2</v>
      </c>
      <c r="H78" s="42">
        <v>36742</v>
      </c>
      <c r="I78" s="45">
        <v>341100</v>
      </c>
      <c r="J78" s="48" t="s">
        <v>771</v>
      </c>
      <c r="K78" s="34" t="s">
        <v>772</v>
      </c>
      <c r="L78" s="38"/>
      <c r="M78" s="38"/>
    </row>
    <row r="79" customHeight="1" spans="1:13">
      <c r="A79" s="34">
        <v>42</v>
      </c>
      <c r="B79" s="34">
        <v>1705103</v>
      </c>
      <c r="C79" s="34" t="s">
        <v>142</v>
      </c>
      <c r="D79" s="34">
        <v>170510306</v>
      </c>
      <c r="E79" s="34">
        <v>1</v>
      </c>
      <c r="F79" s="34" t="s">
        <v>179</v>
      </c>
      <c r="G79" s="34">
        <v>2</v>
      </c>
      <c r="H79" s="42">
        <v>36294</v>
      </c>
      <c r="I79" s="45">
        <v>321200</v>
      </c>
      <c r="J79" s="48" t="s">
        <v>773</v>
      </c>
      <c r="K79" s="34" t="s">
        <v>774</v>
      </c>
      <c r="L79" s="38"/>
      <c r="M79" s="38"/>
    </row>
    <row r="80" customHeight="1" spans="1:13">
      <c r="A80" s="34">
        <v>42</v>
      </c>
      <c r="B80" s="34">
        <v>1705103</v>
      </c>
      <c r="C80" s="34" t="s">
        <v>142</v>
      </c>
      <c r="D80" s="34">
        <v>170510307</v>
      </c>
      <c r="E80" s="34">
        <v>1</v>
      </c>
      <c r="F80" s="34" t="s">
        <v>180</v>
      </c>
      <c r="G80" s="34">
        <v>2</v>
      </c>
      <c r="H80" s="42">
        <v>36306</v>
      </c>
      <c r="I80" s="45">
        <v>330200</v>
      </c>
      <c r="J80" s="48" t="s">
        <v>775</v>
      </c>
      <c r="K80" s="34" t="s">
        <v>776</v>
      </c>
      <c r="L80" s="38"/>
      <c r="M80" s="38"/>
    </row>
    <row r="81" customHeight="1" spans="1:13">
      <c r="A81" s="34">
        <v>42</v>
      </c>
      <c r="B81" s="34">
        <v>1705103</v>
      </c>
      <c r="C81" s="34" t="s">
        <v>142</v>
      </c>
      <c r="D81" s="34">
        <v>170510309</v>
      </c>
      <c r="E81" s="34">
        <v>1</v>
      </c>
      <c r="F81" s="34" t="s">
        <v>143</v>
      </c>
      <c r="G81" s="34">
        <v>2</v>
      </c>
      <c r="H81" s="42">
        <v>36057</v>
      </c>
      <c r="I81" s="124" t="s">
        <v>570</v>
      </c>
      <c r="J81" s="48" t="s">
        <v>777</v>
      </c>
      <c r="K81" s="34" t="s">
        <v>778</v>
      </c>
      <c r="L81" s="38"/>
      <c r="M81" s="38"/>
    </row>
    <row r="82" customHeight="1" spans="1:13">
      <c r="A82" s="34">
        <v>42</v>
      </c>
      <c r="B82" s="34">
        <v>1705103</v>
      </c>
      <c r="C82" s="34" t="s">
        <v>142</v>
      </c>
      <c r="D82" s="34">
        <v>170510310</v>
      </c>
      <c r="E82" s="34">
        <v>1</v>
      </c>
      <c r="F82" s="34" t="s">
        <v>144</v>
      </c>
      <c r="G82" s="34">
        <v>2</v>
      </c>
      <c r="H82" s="42">
        <v>36368</v>
      </c>
      <c r="I82" s="45">
        <v>330400</v>
      </c>
      <c r="J82" s="48" t="s">
        <v>779</v>
      </c>
      <c r="K82" s="34" t="s">
        <v>780</v>
      </c>
      <c r="L82" s="38"/>
      <c r="M82" s="38"/>
    </row>
    <row r="83" customHeight="1" spans="1:13">
      <c r="A83" s="34">
        <v>42</v>
      </c>
      <c r="B83" s="34">
        <v>1705103</v>
      </c>
      <c r="C83" s="34" t="s">
        <v>142</v>
      </c>
      <c r="D83" s="34">
        <v>170510311</v>
      </c>
      <c r="E83" s="34">
        <v>1</v>
      </c>
      <c r="F83" s="34" t="s">
        <v>145</v>
      </c>
      <c r="G83" s="34">
        <v>2</v>
      </c>
      <c r="H83" s="42">
        <v>36184</v>
      </c>
      <c r="I83" s="45">
        <v>320400</v>
      </c>
      <c r="J83" s="48" t="s">
        <v>781</v>
      </c>
      <c r="K83" s="34" t="s">
        <v>782</v>
      </c>
      <c r="L83" s="38"/>
      <c r="M83" s="38"/>
    </row>
    <row r="84" customHeight="1" spans="1:13">
      <c r="A84" s="34">
        <v>42</v>
      </c>
      <c r="B84" s="34">
        <v>1705103</v>
      </c>
      <c r="C84" s="34" t="s">
        <v>142</v>
      </c>
      <c r="D84" s="34">
        <v>170510312</v>
      </c>
      <c r="E84" s="34">
        <v>1</v>
      </c>
      <c r="F84" s="34" t="s">
        <v>147</v>
      </c>
      <c r="G84" s="34">
        <v>2</v>
      </c>
      <c r="H84" s="42">
        <v>36182</v>
      </c>
      <c r="I84" s="45">
        <v>411300</v>
      </c>
      <c r="J84" s="48" t="s">
        <v>783</v>
      </c>
      <c r="K84" s="34" t="s">
        <v>784</v>
      </c>
      <c r="L84" s="38"/>
      <c r="M84" s="38"/>
    </row>
    <row r="85" customHeight="1" spans="1:13">
      <c r="A85" s="34">
        <v>42</v>
      </c>
      <c r="B85" s="34">
        <v>1705103</v>
      </c>
      <c r="C85" s="34" t="s">
        <v>142</v>
      </c>
      <c r="D85" s="34">
        <v>170510313</v>
      </c>
      <c r="E85" s="34">
        <v>1</v>
      </c>
      <c r="F85" s="34" t="s">
        <v>149</v>
      </c>
      <c r="G85" s="34">
        <v>2</v>
      </c>
      <c r="H85" s="42">
        <v>36418</v>
      </c>
      <c r="I85" s="45">
        <v>330700</v>
      </c>
      <c r="J85" s="48" t="s">
        <v>785</v>
      </c>
      <c r="K85" s="34" t="s">
        <v>786</v>
      </c>
      <c r="L85" s="38"/>
      <c r="M85" s="38"/>
    </row>
    <row r="86" customHeight="1" spans="1:13">
      <c r="A86" s="34">
        <v>42</v>
      </c>
      <c r="B86" s="34">
        <v>1705103</v>
      </c>
      <c r="C86" s="34" t="s">
        <v>142</v>
      </c>
      <c r="D86" s="34">
        <v>170510314</v>
      </c>
      <c r="E86" s="34">
        <v>1</v>
      </c>
      <c r="F86" s="34" t="s">
        <v>150</v>
      </c>
      <c r="G86" s="34">
        <v>2</v>
      </c>
      <c r="H86" s="42">
        <v>36155</v>
      </c>
      <c r="I86" s="124" t="s">
        <v>787</v>
      </c>
      <c r="J86" s="48" t="s">
        <v>788</v>
      </c>
      <c r="K86" s="34" t="s">
        <v>789</v>
      </c>
      <c r="L86" s="38"/>
      <c r="M86" s="38"/>
    </row>
    <row r="87" customHeight="1" spans="1:13">
      <c r="A87" s="34">
        <v>42</v>
      </c>
      <c r="B87" s="34">
        <v>1705103</v>
      </c>
      <c r="C87" s="34" t="s">
        <v>142</v>
      </c>
      <c r="D87" s="34">
        <v>170510315</v>
      </c>
      <c r="E87" s="34">
        <v>1</v>
      </c>
      <c r="F87" s="34" t="s">
        <v>151</v>
      </c>
      <c r="G87" s="34">
        <v>2</v>
      </c>
      <c r="H87" s="42">
        <v>36307</v>
      </c>
      <c r="I87" s="45">
        <v>330900</v>
      </c>
      <c r="J87" s="48" t="s">
        <v>790</v>
      </c>
      <c r="K87" s="34" t="s">
        <v>791</v>
      </c>
      <c r="L87" s="38"/>
      <c r="M87" s="38"/>
    </row>
    <row r="88" customHeight="1" spans="1:13">
      <c r="A88" s="34">
        <v>42</v>
      </c>
      <c r="B88" s="34">
        <v>1705103</v>
      </c>
      <c r="C88" s="34" t="s">
        <v>142</v>
      </c>
      <c r="D88" s="34">
        <v>170510318</v>
      </c>
      <c r="E88" s="34">
        <v>1</v>
      </c>
      <c r="F88" s="34" t="s">
        <v>152</v>
      </c>
      <c r="G88" s="34">
        <v>2</v>
      </c>
      <c r="H88" s="42">
        <v>36101</v>
      </c>
      <c r="I88" s="124" t="s">
        <v>602</v>
      </c>
      <c r="J88" s="48" t="s">
        <v>792</v>
      </c>
      <c r="K88" s="34" t="s">
        <v>793</v>
      </c>
      <c r="L88" s="38"/>
      <c r="M88" s="38"/>
    </row>
    <row r="89" customHeight="1" spans="1:13">
      <c r="A89" s="34">
        <v>42</v>
      </c>
      <c r="B89" s="34">
        <v>1705103</v>
      </c>
      <c r="C89" s="34" t="s">
        <v>142</v>
      </c>
      <c r="D89" s="34">
        <v>170510319</v>
      </c>
      <c r="E89" s="34">
        <v>1</v>
      </c>
      <c r="F89" s="34" t="s">
        <v>153</v>
      </c>
      <c r="G89" s="34">
        <v>2</v>
      </c>
      <c r="H89" s="42">
        <v>36119</v>
      </c>
      <c r="I89" s="45">
        <v>330700</v>
      </c>
      <c r="J89" s="48" t="s">
        <v>794</v>
      </c>
      <c r="K89" s="34" t="s">
        <v>795</v>
      </c>
      <c r="L89" s="38"/>
      <c r="M89" s="38"/>
    </row>
    <row r="90" customHeight="1" spans="1:13">
      <c r="A90" s="34">
        <v>42</v>
      </c>
      <c r="B90" s="34">
        <v>1705103</v>
      </c>
      <c r="C90" s="34" t="s">
        <v>142</v>
      </c>
      <c r="D90" s="34">
        <v>170510320</v>
      </c>
      <c r="E90" s="34">
        <v>1</v>
      </c>
      <c r="F90" s="34" t="s">
        <v>154</v>
      </c>
      <c r="G90" s="34">
        <v>2</v>
      </c>
      <c r="H90" s="42">
        <v>36104</v>
      </c>
      <c r="I90" s="45">
        <v>321100</v>
      </c>
      <c r="J90" s="48" t="s">
        <v>796</v>
      </c>
      <c r="K90" s="34" t="s">
        <v>797</v>
      </c>
      <c r="L90" s="38"/>
      <c r="M90" s="38"/>
    </row>
    <row r="91" customHeight="1" spans="1:13">
      <c r="A91" s="34">
        <v>42</v>
      </c>
      <c r="B91" s="34">
        <v>1705103</v>
      </c>
      <c r="C91" s="34" t="s">
        <v>142</v>
      </c>
      <c r="D91" s="34">
        <v>170510321</v>
      </c>
      <c r="E91" s="34">
        <v>1</v>
      </c>
      <c r="F91" s="34" t="s">
        <v>155</v>
      </c>
      <c r="G91" s="34">
        <v>2</v>
      </c>
      <c r="H91" s="42">
        <v>36313</v>
      </c>
      <c r="I91" s="124" t="s">
        <v>539</v>
      </c>
      <c r="J91" s="48" t="s">
        <v>798</v>
      </c>
      <c r="K91" s="34" t="s">
        <v>799</v>
      </c>
      <c r="L91" s="38"/>
      <c r="M91" s="38"/>
    </row>
    <row r="92" customHeight="1" spans="1:13">
      <c r="A92" s="34">
        <v>42</v>
      </c>
      <c r="B92" s="34">
        <v>1705103</v>
      </c>
      <c r="C92" s="34" t="s">
        <v>142</v>
      </c>
      <c r="D92" s="34">
        <v>170510322</v>
      </c>
      <c r="E92" s="34">
        <v>1</v>
      </c>
      <c r="F92" s="34" t="s">
        <v>156</v>
      </c>
      <c r="G92" s="34">
        <v>2</v>
      </c>
      <c r="H92" s="42">
        <v>36241</v>
      </c>
      <c r="I92" s="124" t="s">
        <v>542</v>
      </c>
      <c r="J92" s="48" t="s">
        <v>800</v>
      </c>
      <c r="K92" s="34" t="s">
        <v>801</v>
      </c>
      <c r="L92" s="38"/>
      <c r="M92" s="38"/>
    </row>
    <row r="93" customHeight="1" spans="1:13">
      <c r="A93" s="34">
        <v>42</v>
      </c>
      <c r="B93" s="34">
        <v>1705103</v>
      </c>
      <c r="C93" s="34" t="s">
        <v>142</v>
      </c>
      <c r="D93" s="34">
        <v>170510323</v>
      </c>
      <c r="E93" s="34">
        <v>1</v>
      </c>
      <c r="F93" s="34" t="s">
        <v>157</v>
      </c>
      <c r="G93" s="34">
        <v>2</v>
      </c>
      <c r="H93" s="42">
        <v>36060</v>
      </c>
      <c r="I93" s="124" t="s">
        <v>539</v>
      </c>
      <c r="J93" s="48" t="s">
        <v>802</v>
      </c>
      <c r="K93" s="34" t="s">
        <v>803</v>
      </c>
      <c r="L93" s="38"/>
      <c r="M93" s="38"/>
    </row>
    <row r="94" customHeight="1" spans="1:13">
      <c r="A94" s="34">
        <v>42</v>
      </c>
      <c r="B94" s="34">
        <v>1705103</v>
      </c>
      <c r="C94" s="34" t="s">
        <v>142</v>
      </c>
      <c r="D94" s="34">
        <v>170510324</v>
      </c>
      <c r="E94" s="34">
        <v>1</v>
      </c>
      <c r="F94" s="34" t="s">
        <v>158</v>
      </c>
      <c r="G94" s="34">
        <v>2</v>
      </c>
      <c r="H94" s="42">
        <v>36120</v>
      </c>
      <c r="I94" s="45">
        <v>342600</v>
      </c>
      <c r="J94" s="48" t="s">
        <v>804</v>
      </c>
      <c r="K94" s="34" t="s">
        <v>805</v>
      </c>
      <c r="L94" s="38"/>
      <c r="M94" s="38"/>
    </row>
    <row r="95" customHeight="1" spans="1:13">
      <c r="A95" s="34">
        <v>42</v>
      </c>
      <c r="B95" s="34">
        <v>1705103</v>
      </c>
      <c r="C95" s="34" t="s">
        <v>142</v>
      </c>
      <c r="D95" s="34">
        <v>170510325</v>
      </c>
      <c r="E95" s="34">
        <v>1</v>
      </c>
      <c r="F95" s="34" t="s">
        <v>159</v>
      </c>
      <c r="G95" s="34">
        <v>2</v>
      </c>
      <c r="H95" s="42">
        <v>36484</v>
      </c>
      <c r="I95" s="45">
        <v>332500</v>
      </c>
      <c r="J95" s="48" t="s">
        <v>806</v>
      </c>
      <c r="K95" s="34" t="s">
        <v>807</v>
      </c>
      <c r="L95" s="38"/>
      <c r="M95" s="38"/>
    </row>
    <row r="96" customHeight="1" spans="1:13">
      <c r="A96" s="34">
        <v>42</v>
      </c>
      <c r="B96" s="34">
        <v>1705103</v>
      </c>
      <c r="C96" s="34" t="s">
        <v>142</v>
      </c>
      <c r="D96" s="34">
        <v>170510326</v>
      </c>
      <c r="E96" s="34">
        <v>1</v>
      </c>
      <c r="F96" s="34" t="s">
        <v>160</v>
      </c>
      <c r="G96" s="34">
        <v>2</v>
      </c>
      <c r="H96" s="42">
        <v>36476</v>
      </c>
      <c r="I96" s="124" t="s">
        <v>565</v>
      </c>
      <c r="J96" s="48" t="s">
        <v>808</v>
      </c>
      <c r="K96" s="34" t="s">
        <v>809</v>
      </c>
      <c r="L96" s="38"/>
      <c r="M96" s="38"/>
    </row>
    <row r="97" customHeight="1" spans="1:13">
      <c r="A97" s="34">
        <v>42</v>
      </c>
      <c r="B97" s="34">
        <v>1705103</v>
      </c>
      <c r="C97" s="34" t="s">
        <v>142</v>
      </c>
      <c r="D97" s="34">
        <v>170510327</v>
      </c>
      <c r="E97" s="34">
        <v>1</v>
      </c>
      <c r="F97" s="34" t="s">
        <v>162</v>
      </c>
      <c r="G97" s="34">
        <v>2</v>
      </c>
      <c r="H97" s="42">
        <v>36313</v>
      </c>
      <c r="I97" s="124" t="s">
        <v>579</v>
      </c>
      <c r="J97" s="48" t="s">
        <v>810</v>
      </c>
      <c r="K97" s="34" t="s">
        <v>811</v>
      </c>
      <c r="L97" s="38"/>
      <c r="M97" s="38"/>
    </row>
    <row r="98" customHeight="1" spans="1:13">
      <c r="A98" s="34">
        <v>42</v>
      </c>
      <c r="B98" s="34">
        <v>1705103</v>
      </c>
      <c r="C98" s="34" t="s">
        <v>142</v>
      </c>
      <c r="D98" s="34">
        <v>170510328</v>
      </c>
      <c r="E98" s="34">
        <v>1</v>
      </c>
      <c r="F98" s="34" t="s">
        <v>164</v>
      </c>
      <c r="G98" s="34">
        <v>2</v>
      </c>
      <c r="H98" s="42">
        <v>36515</v>
      </c>
      <c r="I98" s="124" t="s">
        <v>812</v>
      </c>
      <c r="J98" s="48" t="s">
        <v>813</v>
      </c>
      <c r="K98" s="34" t="s">
        <v>814</v>
      </c>
      <c r="L98" s="38"/>
      <c r="M98" s="38"/>
    </row>
    <row r="99" customHeight="1" spans="1:13">
      <c r="A99" s="34">
        <v>42</v>
      </c>
      <c r="B99" s="34">
        <v>1705103</v>
      </c>
      <c r="C99" s="34" t="s">
        <v>142</v>
      </c>
      <c r="D99" s="34">
        <v>170510329</v>
      </c>
      <c r="E99" s="34">
        <v>1</v>
      </c>
      <c r="F99" s="34" t="s">
        <v>165</v>
      </c>
      <c r="G99" s="34">
        <v>2</v>
      </c>
      <c r="H99" s="42">
        <v>36170</v>
      </c>
      <c r="I99" s="124" t="s">
        <v>579</v>
      </c>
      <c r="J99" s="48" t="s">
        <v>815</v>
      </c>
      <c r="K99" s="34" t="s">
        <v>816</v>
      </c>
      <c r="L99" s="38"/>
      <c r="M99" s="38"/>
    </row>
    <row r="100" customHeight="1" spans="1:13">
      <c r="A100" s="34">
        <v>42</v>
      </c>
      <c r="B100" s="34">
        <v>1705103</v>
      </c>
      <c r="C100" s="34" t="s">
        <v>142</v>
      </c>
      <c r="D100" s="34">
        <v>170510330</v>
      </c>
      <c r="E100" s="34">
        <v>1</v>
      </c>
      <c r="F100" s="34" t="s">
        <v>166</v>
      </c>
      <c r="G100" s="34">
        <v>2</v>
      </c>
      <c r="H100" s="42">
        <v>35706</v>
      </c>
      <c r="I100" s="45">
        <v>321300</v>
      </c>
      <c r="J100" s="48" t="s">
        <v>817</v>
      </c>
      <c r="K100" s="34" t="s">
        <v>818</v>
      </c>
      <c r="L100" s="38"/>
      <c r="M100" s="38"/>
    </row>
    <row r="101" customHeight="1" spans="1:13">
      <c r="A101" s="34">
        <v>42</v>
      </c>
      <c r="B101" s="34">
        <v>1705103</v>
      </c>
      <c r="C101" s="34" t="s">
        <v>142</v>
      </c>
      <c r="D101" s="34">
        <v>170510338</v>
      </c>
      <c r="E101" s="34">
        <v>1</v>
      </c>
      <c r="F101" s="34" t="s">
        <v>184</v>
      </c>
      <c r="G101" s="34">
        <v>2</v>
      </c>
      <c r="H101" s="42">
        <v>36282</v>
      </c>
      <c r="I101" s="124" t="s">
        <v>570</v>
      </c>
      <c r="J101" s="48" t="s">
        <v>819</v>
      </c>
      <c r="K101" s="34" t="s">
        <v>820</v>
      </c>
      <c r="L101" s="38"/>
      <c r="M101" s="38"/>
    </row>
    <row r="102" customHeight="1" spans="1:13">
      <c r="A102" s="34">
        <v>42</v>
      </c>
      <c r="B102" s="34">
        <v>1705103</v>
      </c>
      <c r="C102" s="34" t="s">
        <v>142</v>
      </c>
      <c r="D102" s="34">
        <v>170510337</v>
      </c>
      <c r="E102" s="34">
        <v>1</v>
      </c>
      <c r="F102" s="34" t="s">
        <v>181</v>
      </c>
      <c r="G102" s="34">
        <v>1</v>
      </c>
      <c r="H102" s="42">
        <v>36077</v>
      </c>
      <c r="I102" s="124" t="s">
        <v>684</v>
      </c>
      <c r="J102" s="48" t="s">
        <v>821</v>
      </c>
      <c r="K102" s="34" t="s">
        <v>822</v>
      </c>
      <c r="L102" s="38"/>
      <c r="M102" s="38"/>
    </row>
    <row r="103" customHeight="1" spans="1:13">
      <c r="A103" s="34">
        <v>42</v>
      </c>
      <c r="B103" s="34">
        <v>1705103</v>
      </c>
      <c r="C103" s="34" t="s">
        <v>142</v>
      </c>
      <c r="D103" s="34">
        <v>170510335</v>
      </c>
      <c r="E103" s="34">
        <v>1</v>
      </c>
      <c r="F103" s="34" t="s">
        <v>170</v>
      </c>
      <c r="G103" s="34">
        <v>1</v>
      </c>
      <c r="H103" s="42">
        <v>36050</v>
      </c>
      <c r="I103" s="45">
        <v>320300</v>
      </c>
      <c r="J103" s="48" t="s">
        <v>823</v>
      </c>
      <c r="K103" s="34" t="s">
        <v>824</v>
      </c>
      <c r="L103" s="38"/>
      <c r="M103" s="38"/>
    </row>
    <row r="104" customHeight="1" spans="1:13">
      <c r="A104" s="34">
        <v>42</v>
      </c>
      <c r="B104" s="34">
        <v>1705103</v>
      </c>
      <c r="C104" s="34" t="s">
        <v>142</v>
      </c>
      <c r="D104" s="34">
        <v>170510336</v>
      </c>
      <c r="E104" s="34">
        <v>1</v>
      </c>
      <c r="F104" s="34" t="s">
        <v>171</v>
      </c>
      <c r="G104" s="34">
        <v>1</v>
      </c>
      <c r="H104" s="42">
        <v>36040</v>
      </c>
      <c r="I104" s="45">
        <v>330100</v>
      </c>
      <c r="J104" s="48" t="s">
        <v>825</v>
      </c>
      <c r="K104" s="34" t="s">
        <v>826</v>
      </c>
      <c r="L104" s="38"/>
      <c r="M104" s="38"/>
    </row>
    <row r="105" customHeight="1" spans="1:13">
      <c r="A105" s="34">
        <v>42</v>
      </c>
      <c r="B105" s="34">
        <v>1705103</v>
      </c>
      <c r="C105" s="34" t="s">
        <v>142</v>
      </c>
      <c r="D105" s="34">
        <v>170510334</v>
      </c>
      <c r="E105" s="34">
        <v>1</v>
      </c>
      <c r="F105" s="34" t="s">
        <v>169</v>
      </c>
      <c r="G105" s="34">
        <v>1</v>
      </c>
      <c r="H105" s="42">
        <v>36142</v>
      </c>
      <c r="I105" s="45">
        <v>320300</v>
      </c>
      <c r="J105" s="48" t="s">
        <v>827</v>
      </c>
      <c r="K105" s="34" t="s">
        <v>828</v>
      </c>
      <c r="L105" s="38"/>
      <c r="M105" s="38"/>
    </row>
    <row r="106" customHeight="1" spans="1:13">
      <c r="A106" s="34">
        <v>42</v>
      </c>
      <c r="B106" s="34">
        <v>1705103</v>
      </c>
      <c r="C106" s="34" t="s">
        <v>142</v>
      </c>
      <c r="D106" s="34">
        <v>170510333</v>
      </c>
      <c r="E106" s="34">
        <v>1</v>
      </c>
      <c r="F106" s="34" t="s">
        <v>168</v>
      </c>
      <c r="G106" s="34">
        <v>1</v>
      </c>
      <c r="H106" s="42">
        <v>35632</v>
      </c>
      <c r="I106" s="45">
        <v>130400</v>
      </c>
      <c r="J106" s="48" t="s">
        <v>829</v>
      </c>
      <c r="K106" s="34" t="s">
        <v>830</v>
      </c>
      <c r="L106" s="38"/>
      <c r="M106" s="38"/>
    </row>
    <row r="107" customHeight="1" spans="1:13">
      <c r="A107" s="34">
        <v>42</v>
      </c>
      <c r="B107" s="34">
        <v>1705103</v>
      </c>
      <c r="C107" s="34" t="s">
        <v>142</v>
      </c>
      <c r="D107" s="34">
        <v>170510339</v>
      </c>
      <c r="E107" s="34">
        <v>1</v>
      </c>
      <c r="F107" s="34" t="s">
        <v>182</v>
      </c>
      <c r="G107" s="34">
        <v>2</v>
      </c>
      <c r="H107" s="42">
        <v>35868</v>
      </c>
      <c r="I107" s="124" t="s">
        <v>579</v>
      </c>
      <c r="J107" s="48" t="s">
        <v>831</v>
      </c>
      <c r="K107" s="34" t="s">
        <v>832</v>
      </c>
      <c r="L107" s="38"/>
      <c r="M107" s="38"/>
    </row>
    <row r="108" customHeight="1" spans="1:14">
      <c r="A108" s="34">
        <v>42</v>
      </c>
      <c r="B108" s="51">
        <v>1705301</v>
      </c>
      <c r="C108" s="52" t="s">
        <v>833</v>
      </c>
      <c r="D108" s="51">
        <v>170530107</v>
      </c>
      <c r="E108" s="51">
        <v>1</v>
      </c>
      <c r="F108" s="52" t="s">
        <v>187</v>
      </c>
      <c r="G108" s="51">
        <v>2</v>
      </c>
      <c r="H108" s="52" t="s">
        <v>834</v>
      </c>
      <c r="I108" s="129" t="s">
        <v>542</v>
      </c>
      <c r="J108" s="52" t="s">
        <v>835</v>
      </c>
      <c r="K108" s="52" t="s">
        <v>836</v>
      </c>
      <c r="L108" s="55"/>
      <c r="M108" s="55"/>
      <c r="N108" s="56"/>
    </row>
    <row r="109" customHeight="1" spans="1:14">
      <c r="A109" s="34">
        <v>42</v>
      </c>
      <c r="B109" s="51">
        <v>1705301</v>
      </c>
      <c r="C109" s="52" t="s">
        <v>833</v>
      </c>
      <c r="D109" s="51">
        <v>170530110</v>
      </c>
      <c r="E109" s="51">
        <v>1</v>
      </c>
      <c r="F109" s="52" t="s">
        <v>190</v>
      </c>
      <c r="G109" s="51">
        <v>2</v>
      </c>
      <c r="H109" s="52" t="s">
        <v>837</v>
      </c>
      <c r="I109" s="129" t="s">
        <v>539</v>
      </c>
      <c r="J109" s="52" t="s">
        <v>838</v>
      </c>
      <c r="K109" s="52" t="s">
        <v>839</v>
      </c>
      <c r="L109" s="55"/>
      <c r="M109" s="55"/>
      <c r="N109" s="56"/>
    </row>
    <row r="110" customHeight="1" spans="1:14">
      <c r="A110" s="34">
        <v>42</v>
      </c>
      <c r="B110" s="51">
        <v>1705301</v>
      </c>
      <c r="C110" s="52" t="s">
        <v>833</v>
      </c>
      <c r="D110" s="51">
        <v>170530111</v>
      </c>
      <c r="E110" s="51">
        <v>1</v>
      </c>
      <c r="F110" s="52" t="s">
        <v>192</v>
      </c>
      <c r="G110" s="51">
        <v>2</v>
      </c>
      <c r="H110" s="52" t="s">
        <v>840</v>
      </c>
      <c r="I110" s="54">
        <v>441600</v>
      </c>
      <c r="J110" s="52" t="s">
        <v>841</v>
      </c>
      <c r="K110" s="52" t="s">
        <v>842</v>
      </c>
      <c r="L110" s="55"/>
      <c r="M110" s="55"/>
      <c r="N110" s="56"/>
    </row>
    <row r="111" customHeight="1" spans="1:14">
      <c r="A111" s="34">
        <v>42</v>
      </c>
      <c r="B111" s="51">
        <v>1705301</v>
      </c>
      <c r="C111" s="52" t="s">
        <v>833</v>
      </c>
      <c r="D111" s="51">
        <v>170530113</v>
      </c>
      <c r="E111" s="51">
        <v>1</v>
      </c>
      <c r="F111" s="52" t="s">
        <v>195</v>
      </c>
      <c r="G111" s="51">
        <v>2</v>
      </c>
      <c r="H111" s="52" t="s">
        <v>843</v>
      </c>
      <c r="I111" s="54">
        <v>321100</v>
      </c>
      <c r="J111" s="52" t="s">
        <v>844</v>
      </c>
      <c r="K111" s="52" t="s">
        <v>845</v>
      </c>
      <c r="L111" s="55"/>
      <c r="M111" s="55"/>
      <c r="N111" s="56"/>
    </row>
    <row r="112" customHeight="1" spans="1:14">
      <c r="A112" s="34">
        <v>42</v>
      </c>
      <c r="B112" s="51">
        <v>1705301</v>
      </c>
      <c r="C112" s="52" t="s">
        <v>833</v>
      </c>
      <c r="D112" s="51">
        <v>170530114</v>
      </c>
      <c r="E112" s="51">
        <v>1</v>
      </c>
      <c r="F112" s="52" t="s">
        <v>197</v>
      </c>
      <c r="G112" s="51">
        <v>2</v>
      </c>
      <c r="H112" s="52" t="s">
        <v>846</v>
      </c>
      <c r="I112" s="54">
        <v>500200</v>
      </c>
      <c r="J112" s="52" t="s">
        <v>847</v>
      </c>
      <c r="K112" s="52" t="s">
        <v>848</v>
      </c>
      <c r="L112" s="55"/>
      <c r="M112" s="55"/>
      <c r="N112" s="56"/>
    </row>
    <row r="113" customHeight="1" spans="1:14">
      <c r="A113" s="34">
        <v>42</v>
      </c>
      <c r="B113" s="51">
        <v>1705301</v>
      </c>
      <c r="C113" s="52" t="s">
        <v>833</v>
      </c>
      <c r="D113" s="51">
        <v>170530115</v>
      </c>
      <c r="E113" s="51">
        <v>1</v>
      </c>
      <c r="F113" s="52" t="s">
        <v>199</v>
      </c>
      <c r="G113" s="51">
        <v>2</v>
      </c>
      <c r="H113" s="52" t="s">
        <v>849</v>
      </c>
      <c r="I113" s="54">
        <v>445200</v>
      </c>
      <c r="J113" s="52" t="s">
        <v>850</v>
      </c>
      <c r="K113" s="52" t="s">
        <v>851</v>
      </c>
      <c r="L113" s="55"/>
      <c r="M113" s="55"/>
      <c r="N113" s="56"/>
    </row>
    <row r="114" customHeight="1" spans="1:14">
      <c r="A114" s="34">
        <v>42</v>
      </c>
      <c r="B114" s="51">
        <v>1705301</v>
      </c>
      <c r="C114" s="52" t="s">
        <v>833</v>
      </c>
      <c r="D114" s="51">
        <v>170530116</v>
      </c>
      <c r="E114" s="51">
        <v>1</v>
      </c>
      <c r="F114" s="52" t="s">
        <v>202</v>
      </c>
      <c r="G114" s="51">
        <v>2</v>
      </c>
      <c r="H114" s="52" t="s">
        <v>852</v>
      </c>
      <c r="I114" s="129" t="s">
        <v>853</v>
      </c>
      <c r="J114" s="52" t="s">
        <v>854</v>
      </c>
      <c r="K114" s="52" t="s">
        <v>855</v>
      </c>
      <c r="L114" s="55"/>
      <c r="M114" s="55"/>
      <c r="N114" s="56"/>
    </row>
    <row r="115" customHeight="1" spans="1:14">
      <c r="A115" s="34">
        <v>42</v>
      </c>
      <c r="B115" s="51">
        <v>1705301</v>
      </c>
      <c r="C115" s="52" t="s">
        <v>833</v>
      </c>
      <c r="D115" s="51">
        <v>170530117</v>
      </c>
      <c r="E115" s="51">
        <v>1</v>
      </c>
      <c r="F115" s="52" t="s">
        <v>204</v>
      </c>
      <c r="G115" s="51">
        <v>2</v>
      </c>
      <c r="H115" s="52" t="s">
        <v>856</v>
      </c>
      <c r="I115" s="129" t="s">
        <v>554</v>
      </c>
      <c r="J115" s="52" t="s">
        <v>857</v>
      </c>
      <c r="K115" s="52" t="s">
        <v>858</v>
      </c>
      <c r="L115" s="55"/>
      <c r="M115" s="55"/>
      <c r="N115" s="56"/>
    </row>
    <row r="116" customHeight="1" spans="1:14">
      <c r="A116" s="34">
        <v>42</v>
      </c>
      <c r="B116" s="51">
        <v>1705301</v>
      </c>
      <c r="C116" s="52" t="s">
        <v>833</v>
      </c>
      <c r="D116" s="51">
        <v>170530119</v>
      </c>
      <c r="E116" s="51">
        <v>1</v>
      </c>
      <c r="F116" s="52" t="s">
        <v>206</v>
      </c>
      <c r="G116" s="51">
        <v>2</v>
      </c>
      <c r="H116" s="52" t="s">
        <v>859</v>
      </c>
      <c r="I116" s="54">
        <v>441200</v>
      </c>
      <c r="J116" s="52" t="s">
        <v>860</v>
      </c>
      <c r="K116" s="52" t="s">
        <v>861</v>
      </c>
      <c r="L116" s="55"/>
      <c r="M116" s="55"/>
      <c r="N116" s="56"/>
    </row>
    <row r="117" customHeight="1" spans="1:14">
      <c r="A117" s="34">
        <v>42</v>
      </c>
      <c r="B117" s="51">
        <v>1705301</v>
      </c>
      <c r="C117" s="52" t="s">
        <v>833</v>
      </c>
      <c r="D117" s="51">
        <v>170530120</v>
      </c>
      <c r="E117" s="51">
        <v>1</v>
      </c>
      <c r="F117" s="52" t="s">
        <v>208</v>
      </c>
      <c r="G117" s="51">
        <v>2</v>
      </c>
      <c r="H117" s="52" t="s">
        <v>862</v>
      </c>
      <c r="I117" s="54">
        <v>370400</v>
      </c>
      <c r="J117" s="52" t="s">
        <v>863</v>
      </c>
      <c r="K117" s="52" t="s">
        <v>864</v>
      </c>
      <c r="L117" s="55"/>
      <c r="M117" s="55"/>
      <c r="N117" s="56"/>
    </row>
    <row r="118" customHeight="1" spans="1:14">
      <c r="A118" s="34">
        <v>42</v>
      </c>
      <c r="B118" s="51">
        <v>1705301</v>
      </c>
      <c r="C118" s="52" t="s">
        <v>833</v>
      </c>
      <c r="D118" s="51">
        <v>170530121</v>
      </c>
      <c r="E118" s="51">
        <v>1</v>
      </c>
      <c r="F118" s="52" t="s">
        <v>211</v>
      </c>
      <c r="G118" s="51">
        <v>2</v>
      </c>
      <c r="H118" s="52" t="s">
        <v>865</v>
      </c>
      <c r="I118" s="54">
        <v>321000</v>
      </c>
      <c r="J118" s="52" t="s">
        <v>866</v>
      </c>
      <c r="K118" s="52" t="s">
        <v>867</v>
      </c>
      <c r="L118" s="55"/>
      <c r="M118" s="55"/>
      <c r="N118" s="56"/>
    </row>
    <row r="119" customHeight="1" spans="1:14">
      <c r="A119" s="34">
        <v>42</v>
      </c>
      <c r="B119" s="51">
        <v>1705301</v>
      </c>
      <c r="C119" s="52" t="s">
        <v>833</v>
      </c>
      <c r="D119" s="51">
        <v>170530122</v>
      </c>
      <c r="E119" s="51">
        <v>1</v>
      </c>
      <c r="F119" s="52" t="s">
        <v>214</v>
      </c>
      <c r="G119" s="51">
        <v>2</v>
      </c>
      <c r="H119" s="52" t="s">
        <v>868</v>
      </c>
      <c r="I119" s="54">
        <v>320900</v>
      </c>
      <c r="J119" s="52" t="s">
        <v>869</v>
      </c>
      <c r="K119" s="52" t="s">
        <v>870</v>
      </c>
      <c r="L119" s="55"/>
      <c r="M119" s="55"/>
      <c r="N119" s="56"/>
    </row>
    <row r="120" customHeight="1" spans="1:14">
      <c r="A120" s="34">
        <v>42</v>
      </c>
      <c r="B120" s="51">
        <v>1705301</v>
      </c>
      <c r="C120" s="52" t="s">
        <v>833</v>
      </c>
      <c r="D120" s="51">
        <v>170530123</v>
      </c>
      <c r="E120" s="51">
        <v>1</v>
      </c>
      <c r="F120" s="52" t="s">
        <v>216</v>
      </c>
      <c r="G120" s="51">
        <v>2</v>
      </c>
      <c r="H120" s="52" t="s">
        <v>871</v>
      </c>
      <c r="I120" s="129" t="s">
        <v>570</v>
      </c>
      <c r="J120" s="52" t="s">
        <v>872</v>
      </c>
      <c r="K120" s="52" t="s">
        <v>873</v>
      </c>
      <c r="L120" s="55"/>
      <c r="M120" s="55"/>
      <c r="N120" s="56"/>
    </row>
    <row r="121" customHeight="1" spans="1:14">
      <c r="A121" s="34">
        <v>42</v>
      </c>
      <c r="B121" s="51">
        <v>1705301</v>
      </c>
      <c r="C121" s="52" t="s">
        <v>833</v>
      </c>
      <c r="D121" s="51">
        <v>170530124</v>
      </c>
      <c r="E121" s="51">
        <v>1</v>
      </c>
      <c r="F121" s="52" t="s">
        <v>218</v>
      </c>
      <c r="G121" s="51">
        <v>2</v>
      </c>
      <c r="H121" s="52" t="s">
        <v>874</v>
      </c>
      <c r="I121" s="54">
        <v>511600</v>
      </c>
      <c r="J121" s="52" t="s">
        <v>875</v>
      </c>
      <c r="K121" s="52" t="s">
        <v>876</v>
      </c>
      <c r="L121" s="55"/>
      <c r="M121" s="55"/>
      <c r="N121" s="56"/>
    </row>
    <row r="122" customHeight="1" spans="1:14">
      <c r="A122" s="34">
        <v>42</v>
      </c>
      <c r="B122" s="51">
        <v>1705301</v>
      </c>
      <c r="C122" s="52" t="s">
        <v>833</v>
      </c>
      <c r="D122" s="51">
        <v>170530125</v>
      </c>
      <c r="E122" s="51">
        <v>1</v>
      </c>
      <c r="F122" s="52" t="s">
        <v>220</v>
      </c>
      <c r="G122" s="51">
        <v>2</v>
      </c>
      <c r="H122" s="52" t="s">
        <v>877</v>
      </c>
      <c r="I122" s="54">
        <v>460000</v>
      </c>
      <c r="J122" s="52" t="s">
        <v>878</v>
      </c>
      <c r="K122" s="52" t="s">
        <v>879</v>
      </c>
      <c r="L122" s="55"/>
      <c r="M122" s="55"/>
      <c r="N122" s="56"/>
    </row>
    <row r="123" customHeight="1" spans="1:14">
      <c r="A123" s="34">
        <v>42</v>
      </c>
      <c r="B123" s="51">
        <v>1705301</v>
      </c>
      <c r="C123" s="52" t="s">
        <v>833</v>
      </c>
      <c r="D123" s="51">
        <v>170530126</v>
      </c>
      <c r="E123" s="51">
        <v>1</v>
      </c>
      <c r="F123" s="52" t="s">
        <v>222</v>
      </c>
      <c r="G123" s="51">
        <v>2</v>
      </c>
      <c r="H123" s="52" t="s">
        <v>880</v>
      </c>
      <c r="I123" s="129" t="s">
        <v>554</v>
      </c>
      <c r="J123" s="52" t="s">
        <v>881</v>
      </c>
      <c r="K123" s="52" t="s">
        <v>882</v>
      </c>
      <c r="L123" s="55"/>
      <c r="M123" s="55"/>
      <c r="N123" s="56"/>
    </row>
    <row r="124" customHeight="1" spans="1:14">
      <c r="A124" s="34">
        <v>42</v>
      </c>
      <c r="B124" s="51">
        <v>1705301</v>
      </c>
      <c r="C124" s="52" t="s">
        <v>833</v>
      </c>
      <c r="D124" s="51">
        <v>170530127</v>
      </c>
      <c r="E124" s="51">
        <v>1</v>
      </c>
      <c r="F124" s="52" t="s">
        <v>224</v>
      </c>
      <c r="G124" s="51">
        <v>2</v>
      </c>
      <c r="H124" s="52" t="s">
        <v>883</v>
      </c>
      <c r="I124" s="54">
        <v>330400</v>
      </c>
      <c r="J124" s="52" t="s">
        <v>884</v>
      </c>
      <c r="K124" s="52" t="s">
        <v>885</v>
      </c>
      <c r="L124" s="55"/>
      <c r="M124" s="55"/>
      <c r="N124" s="56"/>
    </row>
    <row r="125" customHeight="1" spans="1:14">
      <c r="A125" s="34">
        <v>42</v>
      </c>
      <c r="B125" s="51">
        <v>1705301</v>
      </c>
      <c r="C125" s="52" t="s">
        <v>833</v>
      </c>
      <c r="D125" s="51">
        <v>170530128</v>
      </c>
      <c r="E125" s="51">
        <v>1</v>
      </c>
      <c r="F125" s="52" t="s">
        <v>227</v>
      </c>
      <c r="G125" s="51">
        <v>2</v>
      </c>
      <c r="H125" s="52" t="s">
        <v>886</v>
      </c>
      <c r="I125" s="54">
        <v>320800</v>
      </c>
      <c r="J125" s="52" t="s">
        <v>887</v>
      </c>
      <c r="K125" s="52" t="s">
        <v>888</v>
      </c>
      <c r="L125" s="55"/>
      <c r="M125" s="55"/>
      <c r="N125" s="56"/>
    </row>
    <row r="126" customHeight="1" spans="1:14">
      <c r="A126" s="34">
        <v>42</v>
      </c>
      <c r="B126" s="51">
        <v>1705301</v>
      </c>
      <c r="C126" s="52" t="s">
        <v>833</v>
      </c>
      <c r="D126" s="51">
        <v>170530129</v>
      </c>
      <c r="E126" s="51">
        <v>1</v>
      </c>
      <c r="F126" s="52" t="s">
        <v>229</v>
      </c>
      <c r="G126" s="51">
        <v>2</v>
      </c>
      <c r="H126" s="52" t="s">
        <v>889</v>
      </c>
      <c r="I126" s="54">
        <v>321000</v>
      </c>
      <c r="J126" s="52" t="s">
        <v>890</v>
      </c>
      <c r="K126" s="52" t="s">
        <v>891</v>
      </c>
      <c r="L126" s="55"/>
      <c r="M126" s="55"/>
      <c r="N126" s="56"/>
    </row>
    <row r="127" customHeight="1" spans="1:14">
      <c r="A127" s="34">
        <v>42</v>
      </c>
      <c r="B127" s="51">
        <v>1705301</v>
      </c>
      <c r="C127" s="52" t="s">
        <v>833</v>
      </c>
      <c r="D127" s="51">
        <v>170530130</v>
      </c>
      <c r="E127" s="51">
        <v>1</v>
      </c>
      <c r="F127" s="52" t="s">
        <v>232</v>
      </c>
      <c r="G127" s="51">
        <v>2</v>
      </c>
      <c r="H127" s="52" t="s">
        <v>865</v>
      </c>
      <c r="I127" s="54">
        <v>320200</v>
      </c>
      <c r="J127" s="52" t="s">
        <v>892</v>
      </c>
      <c r="K127" s="52" t="s">
        <v>893</v>
      </c>
      <c r="L127" s="55"/>
      <c r="M127" s="55"/>
      <c r="N127" s="56"/>
    </row>
    <row r="128" customHeight="1" spans="1:14">
      <c r="A128" s="34">
        <v>42</v>
      </c>
      <c r="B128" s="51">
        <v>1705301</v>
      </c>
      <c r="C128" s="52" t="s">
        <v>833</v>
      </c>
      <c r="D128" s="51">
        <v>170530131</v>
      </c>
      <c r="E128" s="51">
        <v>1</v>
      </c>
      <c r="F128" s="52" t="s">
        <v>234</v>
      </c>
      <c r="G128" s="51">
        <v>2</v>
      </c>
      <c r="H128" s="52" t="s">
        <v>894</v>
      </c>
      <c r="I128" s="54">
        <v>330200</v>
      </c>
      <c r="J128" s="52" t="s">
        <v>895</v>
      </c>
      <c r="K128" s="52" t="s">
        <v>896</v>
      </c>
      <c r="L128" s="55"/>
      <c r="M128" s="55"/>
      <c r="N128" s="56"/>
    </row>
    <row r="129" customHeight="1" spans="1:14">
      <c r="A129" s="34">
        <v>42</v>
      </c>
      <c r="B129" s="51">
        <v>1705301</v>
      </c>
      <c r="C129" s="52" t="s">
        <v>833</v>
      </c>
      <c r="D129" s="51">
        <v>170530132</v>
      </c>
      <c r="E129" s="51">
        <v>1</v>
      </c>
      <c r="F129" s="52" t="s">
        <v>236</v>
      </c>
      <c r="G129" s="51">
        <v>2</v>
      </c>
      <c r="H129" s="52" t="s">
        <v>897</v>
      </c>
      <c r="I129" s="129" t="s">
        <v>898</v>
      </c>
      <c r="J129" s="52" t="s">
        <v>899</v>
      </c>
      <c r="K129" s="52" t="s">
        <v>900</v>
      </c>
      <c r="L129" s="55"/>
      <c r="M129" s="55"/>
      <c r="N129" s="56"/>
    </row>
    <row r="130" customHeight="1" spans="1:14">
      <c r="A130" s="34">
        <v>42</v>
      </c>
      <c r="B130" s="51">
        <v>1705301</v>
      </c>
      <c r="C130" s="52" t="s">
        <v>833</v>
      </c>
      <c r="D130" s="51">
        <v>170530133</v>
      </c>
      <c r="E130" s="51">
        <v>1</v>
      </c>
      <c r="F130" s="52" t="s">
        <v>238</v>
      </c>
      <c r="G130" s="51">
        <v>2</v>
      </c>
      <c r="H130" s="52" t="s">
        <v>901</v>
      </c>
      <c r="I130" s="54">
        <v>330600</v>
      </c>
      <c r="J130" s="52" t="s">
        <v>902</v>
      </c>
      <c r="K130" s="52" t="s">
        <v>903</v>
      </c>
      <c r="L130" s="55"/>
      <c r="M130" s="55"/>
      <c r="N130" s="56"/>
    </row>
    <row r="131" customHeight="1" spans="1:14">
      <c r="A131" s="34">
        <v>42</v>
      </c>
      <c r="B131" s="51">
        <v>1705301</v>
      </c>
      <c r="C131" s="52" t="s">
        <v>833</v>
      </c>
      <c r="D131" s="51">
        <v>170530134</v>
      </c>
      <c r="E131" s="51">
        <v>1</v>
      </c>
      <c r="F131" s="52" t="s">
        <v>241</v>
      </c>
      <c r="G131" s="51">
        <v>2</v>
      </c>
      <c r="H131" s="52" t="s">
        <v>904</v>
      </c>
      <c r="I131" s="54">
        <v>440300</v>
      </c>
      <c r="J131" s="52" t="s">
        <v>905</v>
      </c>
      <c r="K131" s="52" t="s">
        <v>906</v>
      </c>
      <c r="L131" s="55"/>
      <c r="M131" s="55"/>
      <c r="N131" s="56"/>
    </row>
    <row r="132" customHeight="1" spans="1:14">
      <c r="A132" s="34">
        <v>42</v>
      </c>
      <c r="B132" s="51">
        <v>1705301</v>
      </c>
      <c r="C132" s="52" t="s">
        <v>833</v>
      </c>
      <c r="D132" s="51">
        <v>170530135</v>
      </c>
      <c r="E132" s="51">
        <v>1</v>
      </c>
      <c r="F132" s="52" t="s">
        <v>243</v>
      </c>
      <c r="G132" s="51">
        <v>2</v>
      </c>
      <c r="H132" s="52" t="s">
        <v>907</v>
      </c>
      <c r="I132" s="54">
        <v>341100</v>
      </c>
      <c r="J132" s="52" t="s">
        <v>908</v>
      </c>
      <c r="K132" s="52" t="s">
        <v>909</v>
      </c>
      <c r="L132" s="55"/>
      <c r="M132" s="55"/>
      <c r="N132" s="56"/>
    </row>
    <row r="133" customHeight="1" spans="1:14">
      <c r="A133" s="34">
        <v>42</v>
      </c>
      <c r="B133" s="51">
        <v>1705301</v>
      </c>
      <c r="C133" s="52" t="s">
        <v>833</v>
      </c>
      <c r="D133" s="51">
        <v>170530136</v>
      </c>
      <c r="E133" s="51">
        <v>1</v>
      </c>
      <c r="F133" s="52" t="s">
        <v>245</v>
      </c>
      <c r="G133" s="51">
        <v>2</v>
      </c>
      <c r="H133" s="52" t="s">
        <v>910</v>
      </c>
      <c r="I133" s="54">
        <v>321000</v>
      </c>
      <c r="J133" s="52" t="s">
        <v>911</v>
      </c>
      <c r="K133" s="52" t="s">
        <v>912</v>
      </c>
      <c r="L133" s="55"/>
      <c r="M133" s="55"/>
      <c r="N133" s="56"/>
    </row>
    <row r="134" customHeight="1" spans="1:14">
      <c r="A134" s="34">
        <v>42</v>
      </c>
      <c r="B134" s="51">
        <v>1705301</v>
      </c>
      <c r="C134" s="52" t="s">
        <v>833</v>
      </c>
      <c r="D134" s="51">
        <v>170530137</v>
      </c>
      <c r="E134" s="51">
        <v>1</v>
      </c>
      <c r="F134" s="52" t="s">
        <v>247</v>
      </c>
      <c r="G134" s="51">
        <v>2</v>
      </c>
      <c r="H134" s="52" t="s">
        <v>913</v>
      </c>
      <c r="I134" s="54">
        <v>330200</v>
      </c>
      <c r="J134" s="52" t="s">
        <v>914</v>
      </c>
      <c r="K134" s="52" t="s">
        <v>915</v>
      </c>
      <c r="L134" s="55"/>
      <c r="M134" s="55"/>
      <c r="N134" s="56"/>
    </row>
    <row r="135" customHeight="1" spans="1:14">
      <c r="A135" s="34">
        <v>42</v>
      </c>
      <c r="B135" s="51">
        <v>1705301</v>
      </c>
      <c r="C135" s="52" t="s">
        <v>833</v>
      </c>
      <c r="D135" s="51">
        <v>170530138</v>
      </c>
      <c r="E135" s="51">
        <v>1</v>
      </c>
      <c r="F135" s="52" t="s">
        <v>249</v>
      </c>
      <c r="G135" s="51">
        <v>2</v>
      </c>
      <c r="H135" s="52" t="s">
        <v>916</v>
      </c>
      <c r="I135" s="54">
        <v>310200</v>
      </c>
      <c r="J135" s="52" t="s">
        <v>917</v>
      </c>
      <c r="K135" s="52" t="s">
        <v>918</v>
      </c>
      <c r="L135" s="55"/>
      <c r="M135" s="55"/>
      <c r="N135" s="56"/>
    </row>
    <row r="136" customHeight="1" spans="1:14">
      <c r="A136" s="34">
        <v>42</v>
      </c>
      <c r="B136" s="51">
        <v>1705301</v>
      </c>
      <c r="C136" s="52" t="s">
        <v>833</v>
      </c>
      <c r="D136" s="51">
        <v>170530139</v>
      </c>
      <c r="E136" s="51">
        <v>1</v>
      </c>
      <c r="F136" s="52" t="s">
        <v>250</v>
      </c>
      <c r="G136" s="51">
        <v>2</v>
      </c>
      <c r="H136" s="52" t="s">
        <v>919</v>
      </c>
      <c r="I136" s="54">
        <v>440700</v>
      </c>
      <c r="J136" s="52" t="s">
        <v>920</v>
      </c>
      <c r="K136" s="52" t="s">
        <v>921</v>
      </c>
      <c r="L136" s="55"/>
      <c r="M136" s="55"/>
      <c r="N136" s="56"/>
    </row>
    <row r="137" customHeight="1" spans="1:14">
      <c r="A137" s="34">
        <v>42</v>
      </c>
      <c r="B137" s="51">
        <v>1705301</v>
      </c>
      <c r="C137" s="52" t="s">
        <v>833</v>
      </c>
      <c r="D137" s="51">
        <v>170530141</v>
      </c>
      <c r="E137" s="51">
        <v>1</v>
      </c>
      <c r="F137" s="52" t="s">
        <v>253</v>
      </c>
      <c r="G137" s="51">
        <v>1</v>
      </c>
      <c r="H137" s="52" t="s">
        <v>922</v>
      </c>
      <c r="I137" s="129" t="s">
        <v>787</v>
      </c>
      <c r="J137" s="52" t="s">
        <v>923</v>
      </c>
      <c r="K137" s="52" t="s">
        <v>924</v>
      </c>
      <c r="L137" s="55"/>
      <c r="M137" s="55"/>
      <c r="N137" s="56"/>
    </row>
    <row r="138" customHeight="1" spans="1:14">
      <c r="A138" s="34">
        <v>42</v>
      </c>
      <c r="B138" s="51">
        <v>1705301</v>
      </c>
      <c r="C138" s="52" t="s">
        <v>833</v>
      </c>
      <c r="D138" s="51">
        <v>170530142</v>
      </c>
      <c r="E138" s="51">
        <v>1</v>
      </c>
      <c r="F138" s="52" t="s">
        <v>256</v>
      </c>
      <c r="G138" s="51">
        <v>1</v>
      </c>
      <c r="H138" s="52" t="s">
        <v>925</v>
      </c>
      <c r="I138" s="54">
        <v>441200</v>
      </c>
      <c r="J138" s="52" t="s">
        <v>926</v>
      </c>
      <c r="K138" s="52" t="s">
        <v>927</v>
      </c>
      <c r="L138" s="55"/>
      <c r="M138" s="55"/>
      <c r="N138" s="56"/>
    </row>
    <row r="139" customHeight="1" spans="1:14">
      <c r="A139" s="34">
        <v>42</v>
      </c>
      <c r="B139" s="51">
        <v>1705301</v>
      </c>
      <c r="C139" s="52" t="s">
        <v>833</v>
      </c>
      <c r="D139" s="51">
        <v>170530144</v>
      </c>
      <c r="E139" s="51">
        <v>1</v>
      </c>
      <c r="F139" s="52" t="s">
        <v>258</v>
      </c>
      <c r="G139" s="51">
        <v>1</v>
      </c>
      <c r="H139" s="52" t="s">
        <v>928</v>
      </c>
      <c r="I139" s="54">
        <v>310100</v>
      </c>
      <c r="J139" s="52" t="s">
        <v>929</v>
      </c>
      <c r="K139" s="52" t="s">
        <v>930</v>
      </c>
      <c r="L139" s="55"/>
      <c r="M139" s="55"/>
      <c r="N139" s="56"/>
    </row>
    <row r="140" customHeight="1" spans="1:14">
      <c r="A140" s="34">
        <v>42</v>
      </c>
      <c r="B140" s="51">
        <v>1705301</v>
      </c>
      <c r="C140" s="52" t="s">
        <v>833</v>
      </c>
      <c r="D140" s="51">
        <v>170530145</v>
      </c>
      <c r="E140" s="51">
        <v>1</v>
      </c>
      <c r="F140" s="52" t="s">
        <v>260</v>
      </c>
      <c r="G140" s="51">
        <v>1</v>
      </c>
      <c r="H140" s="52" t="s">
        <v>931</v>
      </c>
      <c r="I140" s="54">
        <v>440600</v>
      </c>
      <c r="J140" s="52" t="s">
        <v>932</v>
      </c>
      <c r="K140" s="52" t="s">
        <v>933</v>
      </c>
      <c r="L140" s="55"/>
      <c r="M140" s="55"/>
      <c r="N140" s="56"/>
    </row>
    <row r="141" customHeight="1" spans="1:14">
      <c r="A141" s="34">
        <v>42</v>
      </c>
      <c r="B141" s="51">
        <v>1705301</v>
      </c>
      <c r="C141" s="52" t="s">
        <v>833</v>
      </c>
      <c r="D141" s="51">
        <v>170530146</v>
      </c>
      <c r="E141" s="51">
        <v>1</v>
      </c>
      <c r="F141" s="52" t="s">
        <v>262</v>
      </c>
      <c r="G141" s="51">
        <v>1</v>
      </c>
      <c r="H141" s="52" t="s">
        <v>934</v>
      </c>
      <c r="I141" s="129" t="s">
        <v>602</v>
      </c>
      <c r="J141" s="52" t="s">
        <v>935</v>
      </c>
      <c r="K141" s="52" t="s">
        <v>936</v>
      </c>
      <c r="L141" s="55"/>
      <c r="M141" s="55"/>
      <c r="N141" s="56"/>
    </row>
    <row r="142" customHeight="1" spans="1:14">
      <c r="A142" s="34">
        <v>42</v>
      </c>
      <c r="B142" s="51">
        <v>1705301</v>
      </c>
      <c r="C142" s="52" t="s">
        <v>833</v>
      </c>
      <c r="D142" s="51">
        <v>170530148</v>
      </c>
      <c r="E142" s="51">
        <v>1</v>
      </c>
      <c r="F142" s="52" t="s">
        <v>264</v>
      </c>
      <c r="G142" s="51">
        <v>1</v>
      </c>
      <c r="H142" s="52" t="s">
        <v>937</v>
      </c>
      <c r="I142" s="54">
        <v>411300</v>
      </c>
      <c r="J142" s="52" t="s">
        <v>938</v>
      </c>
      <c r="K142" s="52" t="s">
        <v>939</v>
      </c>
      <c r="L142" s="55"/>
      <c r="M142" s="55"/>
      <c r="N142" s="56"/>
    </row>
    <row r="143" customHeight="1" spans="1:14">
      <c r="A143" s="34">
        <v>42</v>
      </c>
      <c r="B143" s="51">
        <v>1705301</v>
      </c>
      <c r="C143" s="52" t="s">
        <v>833</v>
      </c>
      <c r="D143" s="51">
        <v>170530150</v>
      </c>
      <c r="E143" s="51">
        <v>1</v>
      </c>
      <c r="F143" s="52" t="s">
        <v>266</v>
      </c>
      <c r="G143" s="51">
        <v>1</v>
      </c>
      <c r="H143" s="52" t="s">
        <v>928</v>
      </c>
      <c r="I143" s="129" t="s">
        <v>579</v>
      </c>
      <c r="J143" s="52" t="s">
        <v>940</v>
      </c>
      <c r="K143" s="52" t="s">
        <v>941</v>
      </c>
      <c r="L143" s="55"/>
      <c r="M143" s="55"/>
      <c r="N143" s="56"/>
    </row>
    <row r="144" customHeight="1" spans="1:14">
      <c r="A144" s="34">
        <v>42</v>
      </c>
      <c r="B144" s="51">
        <v>1705301</v>
      </c>
      <c r="C144" s="52" t="s">
        <v>833</v>
      </c>
      <c r="D144" s="51">
        <v>170530151</v>
      </c>
      <c r="E144" s="51">
        <v>1</v>
      </c>
      <c r="F144" s="52" t="s">
        <v>268</v>
      </c>
      <c r="G144" s="51">
        <v>1</v>
      </c>
      <c r="H144" s="52" t="s">
        <v>942</v>
      </c>
      <c r="I144" s="54">
        <v>440900</v>
      </c>
      <c r="J144" s="52" t="s">
        <v>943</v>
      </c>
      <c r="K144" s="52" t="s">
        <v>944</v>
      </c>
      <c r="L144" s="55"/>
      <c r="M144" s="55"/>
      <c r="N144" s="56"/>
    </row>
    <row r="145" customHeight="1" spans="1:14">
      <c r="A145" s="34">
        <v>42</v>
      </c>
      <c r="B145" s="51">
        <v>1705301</v>
      </c>
      <c r="C145" s="52" t="s">
        <v>833</v>
      </c>
      <c r="D145" s="51">
        <v>170530152</v>
      </c>
      <c r="E145" s="51">
        <v>1</v>
      </c>
      <c r="F145" s="52" t="s">
        <v>270</v>
      </c>
      <c r="G145" s="51">
        <v>1</v>
      </c>
      <c r="H145" s="52" t="s">
        <v>945</v>
      </c>
      <c r="I145" s="129" t="s">
        <v>547</v>
      </c>
      <c r="J145" s="52" t="s">
        <v>946</v>
      </c>
      <c r="K145" s="52" t="s">
        <v>947</v>
      </c>
      <c r="L145" s="55"/>
      <c r="M145" s="55"/>
      <c r="N145" s="56"/>
    </row>
    <row r="146" customHeight="1" spans="1:14">
      <c r="A146" s="34">
        <v>42</v>
      </c>
      <c r="B146" s="51">
        <v>1705301</v>
      </c>
      <c r="C146" s="52" t="s">
        <v>833</v>
      </c>
      <c r="D146" s="51">
        <v>170530154</v>
      </c>
      <c r="E146" s="51">
        <v>1</v>
      </c>
      <c r="F146" s="52" t="s">
        <v>272</v>
      </c>
      <c r="G146" s="51">
        <v>1</v>
      </c>
      <c r="H146" s="52" t="s">
        <v>948</v>
      </c>
      <c r="I146" s="129" t="s">
        <v>949</v>
      </c>
      <c r="J146" s="52" t="s">
        <v>950</v>
      </c>
      <c r="K146" s="52" t="s">
        <v>951</v>
      </c>
      <c r="L146" s="55"/>
      <c r="M146" s="55"/>
      <c r="N146" s="56"/>
    </row>
    <row r="147" customHeight="1" spans="1:14">
      <c r="A147" s="34">
        <v>42</v>
      </c>
      <c r="B147" s="51">
        <v>1705301</v>
      </c>
      <c r="C147" s="52" t="s">
        <v>833</v>
      </c>
      <c r="D147" s="51">
        <v>170530101</v>
      </c>
      <c r="E147" s="51">
        <v>1</v>
      </c>
      <c r="F147" s="52" t="s">
        <v>274</v>
      </c>
      <c r="G147" s="51">
        <v>2</v>
      </c>
      <c r="H147" s="52" t="s">
        <v>856</v>
      </c>
      <c r="I147" s="54">
        <v>440500</v>
      </c>
      <c r="J147" s="52" t="s">
        <v>952</v>
      </c>
      <c r="K147" s="52" t="s">
        <v>953</v>
      </c>
      <c r="L147" s="55"/>
      <c r="M147" s="55"/>
      <c r="N147" s="56"/>
    </row>
    <row r="148" s="32" customFormat="1" customHeight="1" spans="1:14">
      <c r="A148" s="34">
        <v>42</v>
      </c>
      <c r="B148" s="51">
        <v>1705301</v>
      </c>
      <c r="C148" s="52" t="s">
        <v>833</v>
      </c>
      <c r="D148" s="51">
        <v>170530103</v>
      </c>
      <c r="E148" s="51">
        <v>1</v>
      </c>
      <c r="F148" s="52" t="s">
        <v>275</v>
      </c>
      <c r="G148" s="51">
        <v>2</v>
      </c>
      <c r="H148" s="52" t="s">
        <v>954</v>
      </c>
      <c r="I148" s="54">
        <v>440900</v>
      </c>
      <c r="J148" s="52" t="s">
        <v>955</v>
      </c>
      <c r="K148" s="52" t="s">
        <v>956</v>
      </c>
      <c r="L148" s="55"/>
      <c r="M148" s="55"/>
      <c r="N148" s="56"/>
    </row>
    <row r="149" customHeight="1" spans="1:14">
      <c r="A149" s="34">
        <v>42</v>
      </c>
      <c r="B149" s="51">
        <v>1705301</v>
      </c>
      <c r="C149" s="52" t="s">
        <v>833</v>
      </c>
      <c r="D149" s="51">
        <v>170530105</v>
      </c>
      <c r="E149" s="51">
        <v>1</v>
      </c>
      <c r="F149" s="52" t="s">
        <v>277</v>
      </c>
      <c r="G149" s="51">
        <v>2</v>
      </c>
      <c r="H149" s="52" t="s">
        <v>957</v>
      </c>
      <c r="I149" s="129" t="s">
        <v>570</v>
      </c>
      <c r="J149" s="52" t="s">
        <v>958</v>
      </c>
      <c r="K149" s="52" t="s">
        <v>959</v>
      </c>
      <c r="L149" s="55"/>
      <c r="M149" s="55"/>
      <c r="N149" s="56"/>
    </row>
    <row r="150" customHeight="1" spans="1:14">
      <c r="A150" s="34">
        <v>42</v>
      </c>
      <c r="B150" s="51">
        <v>1705301</v>
      </c>
      <c r="C150" s="52" t="s">
        <v>833</v>
      </c>
      <c r="D150" s="51">
        <v>170530106</v>
      </c>
      <c r="E150" s="51">
        <v>1</v>
      </c>
      <c r="F150" s="52" t="s">
        <v>279</v>
      </c>
      <c r="G150" s="51">
        <v>2</v>
      </c>
      <c r="H150" s="52" t="s">
        <v>960</v>
      </c>
      <c r="I150" s="129" t="s">
        <v>539</v>
      </c>
      <c r="J150" s="52" t="s">
        <v>961</v>
      </c>
      <c r="K150" s="52" t="s">
        <v>962</v>
      </c>
      <c r="L150" s="55"/>
      <c r="M150" s="55"/>
      <c r="N150" s="56"/>
    </row>
    <row r="151" s="31" customFormat="1" customHeight="1" spans="1:14">
      <c r="A151" s="34">
        <v>42</v>
      </c>
      <c r="B151" s="51">
        <v>1705301</v>
      </c>
      <c r="C151" s="52" t="s">
        <v>833</v>
      </c>
      <c r="D151" s="51">
        <v>170530155</v>
      </c>
      <c r="E151" s="51">
        <v>1</v>
      </c>
      <c r="F151" s="52" t="s">
        <v>281</v>
      </c>
      <c r="G151" s="51">
        <v>1</v>
      </c>
      <c r="H151" s="52" t="s">
        <v>963</v>
      </c>
      <c r="I151" s="129" t="s">
        <v>787</v>
      </c>
      <c r="J151" s="52" t="s">
        <v>964</v>
      </c>
      <c r="K151" s="52" t="s">
        <v>965</v>
      </c>
      <c r="L151" s="55"/>
      <c r="M151" s="55"/>
      <c r="N151" s="56"/>
    </row>
    <row r="152" s="30" customFormat="1" customHeight="1" spans="1:13">
      <c r="A152" s="34">
        <v>42</v>
      </c>
      <c r="B152" s="34">
        <v>1705201</v>
      </c>
      <c r="C152" s="34" t="s">
        <v>282</v>
      </c>
      <c r="D152" s="34">
        <v>170520101</v>
      </c>
      <c r="E152" s="34">
        <v>1</v>
      </c>
      <c r="F152" s="34" t="s">
        <v>310</v>
      </c>
      <c r="G152" s="34">
        <v>2</v>
      </c>
      <c r="H152" s="48" t="s">
        <v>966</v>
      </c>
      <c r="I152" s="45">
        <v>321100</v>
      </c>
      <c r="J152" s="57" t="s">
        <v>967</v>
      </c>
      <c r="K152" s="34" t="s">
        <v>968</v>
      </c>
      <c r="L152" s="34"/>
      <c r="M152" s="34"/>
    </row>
    <row r="153" s="30" customFormat="1" customHeight="1" spans="1:13">
      <c r="A153" s="34">
        <v>42</v>
      </c>
      <c r="B153" s="34">
        <v>1705201</v>
      </c>
      <c r="C153" s="34" t="s">
        <v>282</v>
      </c>
      <c r="D153" s="34">
        <v>170520102</v>
      </c>
      <c r="E153" s="34">
        <v>1</v>
      </c>
      <c r="F153" s="34" t="s">
        <v>311</v>
      </c>
      <c r="G153" s="34">
        <v>2</v>
      </c>
      <c r="H153" s="48" t="s">
        <v>969</v>
      </c>
      <c r="I153" s="45">
        <v>320500</v>
      </c>
      <c r="J153" s="48" t="s">
        <v>970</v>
      </c>
      <c r="K153" s="34" t="s">
        <v>971</v>
      </c>
      <c r="L153" s="34"/>
      <c r="M153" s="34"/>
    </row>
    <row r="154" s="30" customFormat="1" customHeight="1" spans="1:13">
      <c r="A154" s="34">
        <v>42</v>
      </c>
      <c r="B154" s="34">
        <v>1705201</v>
      </c>
      <c r="C154" s="34" t="s">
        <v>282</v>
      </c>
      <c r="D154" s="34">
        <v>170520103</v>
      </c>
      <c r="E154" s="34">
        <v>1</v>
      </c>
      <c r="F154" s="34" t="s">
        <v>313</v>
      </c>
      <c r="G154" s="34">
        <v>2</v>
      </c>
      <c r="H154" s="48" t="s">
        <v>972</v>
      </c>
      <c r="I154" s="45">
        <v>320400</v>
      </c>
      <c r="J154" s="48" t="s">
        <v>973</v>
      </c>
      <c r="K154" s="34" t="s">
        <v>974</v>
      </c>
      <c r="L154" s="34"/>
      <c r="M154" s="34"/>
    </row>
    <row r="155" s="30" customFormat="1" customHeight="1" spans="1:13">
      <c r="A155" s="34">
        <v>42</v>
      </c>
      <c r="B155" s="34">
        <v>1705201</v>
      </c>
      <c r="C155" s="34" t="s">
        <v>282</v>
      </c>
      <c r="D155" s="34">
        <v>170520104</v>
      </c>
      <c r="E155" s="34">
        <v>1</v>
      </c>
      <c r="F155" s="34" t="s">
        <v>314</v>
      </c>
      <c r="G155" s="34">
        <v>2</v>
      </c>
      <c r="H155" s="48" t="s">
        <v>975</v>
      </c>
      <c r="I155" s="45">
        <v>320900</v>
      </c>
      <c r="J155" s="48" t="s">
        <v>976</v>
      </c>
      <c r="K155" s="34" t="s">
        <v>977</v>
      </c>
      <c r="L155" s="34"/>
      <c r="M155" s="34"/>
    </row>
    <row r="156" s="30" customFormat="1" customHeight="1" spans="1:13">
      <c r="A156" s="34">
        <v>42</v>
      </c>
      <c r="B156" s="34">
        <v>1705201</v>
      </c>
      <c r="C156" s="34" t="s">
        <v>282</v>
      </c>
      <c r="D156" s="34">
        <v>170520105</v>
      </c>
      <c r="E156" s="34">
        <v>1</v>
      </c>
      <c r="F156" s="34" t="s">
        <v>315</v>
      </c>
      <c r="G156" s="34">
        <v>2</v>
      </c>
      <c r="H156" s="48" t="s">
        <v>883</v>
      </c>
      <c r="I156" s="45">
        <v>340500</v>
      </c>
      <c r="J156" s="48" t="s">
        <v>978</v>
      </c>
      <c r="K156" s="34" t="s">
        <v>979</v>
      </c>
      <c r="L156" s="34"/>
      <c r="M156" s="34"/>
    </row>
    <row r="157" s="30" customFormat="1" customHeight="1" spans="1:13">
      <c r="A157" s="34">
        <v>42</v>
      </c>
      <c r="B157" s="34">
        <v>1705201</v>
      </c>
      <c r="C157" s="34" t="s">
        <v>282</v>
      </c>
      <c r="D157" s="34">
        <v>170520106</v>
      </c>
      <c r="E157" s="34">
        <v>1</v>
      </c>
      <c r="F157" s="34" t="s">
        <v>316</v>
      </c>
      <c r="G157" s="34">
        <v>2</v>
      </c>
      <c r="H157" s="48" t="s">
        <v>980</v>
      </c>
      <c r="I157" s="45">
        <v>410300</v>
      </c>
      <c r="J157" s="48" t="s">
        <v>981</v>
      </c>
      <c r="K157" s="34" t="s">
        <v>982</v>
      </c>
      <c r="L157" s="34"/>
      <c r="M157" s="34"/>
    </row>
    <row r="158" s="30" customFormat="1" customHeight="1" spans="1:13">
      <c r="A158" s="34">
        <v>42</v>
      </c>
      <c r="B158" s="34">
        <v>1705201</v>
      </c>
      <c r="C158" s="34" t="s">
        <v>282</v>
      </c>
      <c r="D158" s="34">
        <v>170520107</v>
      </c>
      <c r="E158" s="34">
        <v>1</v>
      </c>
      <c r="F158" s="34" t="s">
        <v>317</v>
      </c>
      <c r="G158" s="34">
        <v>2</v>
      </c>
      <c r="H158" s="48" t="s">
        <v>983</v>
      </c>
      <c r="I158" s="45">
        <v>321200</v>
      </c>
      <c r="J158" s="48" t="s">
        <v>984</v>
      </c>
      <c r="K158" s="34" t="s">
        <v>985</v>
      </c>
      <c r="L158" s="34"/>
      <c r="M158" s="34"/>
    </row>
    <row r="159" s="30" customFormat="1" customHeight="1" spans="1:13">
      <c r="A159" s="34">
        <v>42</v>
      </c>
      <c r="B159" s="34">
        <v>1705201</v>
      </c>
      <c r="C159" s="34" t="s">
        <v>282</v>
      </c>
      <c r="D159" s="34">
        <v>170520108</v>
      </c>
      <c r="E159" s="34">
        <v>1</v>
      </c>
      <c r="F159" s="34" t="s">
        <v>318</v>
      </c>
      <c r="G159" s="34">
        <v>2</v>
      </c>
      <c r="H159" s="48" t="s">
        <v>986</v>
      </c>
      <c r="I159" s="45">
        <v>320100</v>
      </c>
      <c r="J159" s="48" t="s">
        <v>987</v>
      </c>
      <c r="K159" s="34" t="s">
        <v>988</v>
      </c>
      <c r="L159" s="34"/>
      <c r="M159" s="34"/>
    </row>
    <row r="160" s="30" customFormat="1" customHeight="1" spans="1:13">
      <c r="A160" s="34">
        <v>42</v>
      </c>
      <c r="B160" s="34">
        <v>1705201</v>
      </c>
      <c r="C160" s="34" t="s">
        <v>282</v>
      </c>
      <c r="D160" s="34">
        <v>170520109</v>
      </c>
      <c r="E160" s="34">
        <v>1</v>
      </c>
      <c r="F160" s="34" t="s">
        <v>319</v>
      </c>
      <c r="G160" s="34">
        <v>2</v>
      </c>
      <c r="H160" s="48" t="s">
        <v>989</v>
      </c>
      <c r="I160" s="45">
        <v>321000</v>
      </c>
      <c r="J160" s="48" t="s">
        <v>990</v>
      </c>
      <c r="K160" s="34" t="s">
        <v>991</v>
      </c>
      <c r="L160" s="34"/>
      <c r="M160" s="34"/>
    </row>
    <row r="161" s="30" customFormat="1" customHeight="1" spans="1:13">
      <c r="A161" s="34">
        <v>42</v>
      </c>
      <c r="B161" s="34">
        <v>1705201</v>
      </c>
      <c r="C161" s="34" t="s">
        <v>282</v>
      </c>
      <c r="D161" s="34">
        <v>170520110</v>
      </c>
      <c r="E161" s="34">
        <v>1</v>
      </c>
      <c r="F161" s="34" t="s">
        <v>320</v>
      </c>
      <c r="G161" s="34">
        <v>2</v>
      </c>
      <c r="H161" s="48" t="s">
        <v>840</v>
      </c>
      <c r="I161" s="45">
        <v>231200</v>
      </c>
      <c r="J161" s="48" t="s">
        <v>992</v>
      </c>
      <c r="K161" s="34" t="s">
        <v>993</v>
      </c>
      <c r="L161" s="34"/>
      <c r="M161" s="34"/>
    </row>
    <row r="162" s="30" customFormat="1" customHeight="1" spans="1:13">
      <c r="A162" s="34">
        <v>42</v>
      </c>
      <c r="B162" s="34">
        <v>1705201</v>
      </c>
      <c r="C162" s="34" t="s">
        <v>282</v>
      </c>
      <c r="D162" s="34">
        <v>170520111</v>
      </c>
      <c r="E162" s="34">
        <v>3</v>
      </c>
      <c r="F162" s="34" t="s">
        <v>321</v>
      </c>
      <c r="G162" s="34">
        <v>2</v>
      </c>
      <c r="H162" s="48" t="s">
        <v>994</v>
      </c>
      <c r="I162" s="45">
        <v>320100</v>
      </c>
      <c r="J162" s="48" t="s">
        <v>995</v>
      </c>
      <c r="K162" s="34" t="s">
        <v>996</v>
      </c>
      <c r="L162" s="34"/>
      <c r="M162" s="34"/>
    </row>
    <row r="163" s="30" customFormat="1" customHeight="1" spans="1:13">
      <c r="A163" s="34">
        <v>42</v>
      </c>
      <c r="B163" s="34">
        <v>1705201</v>
      </c>
      <c r="C163" s="34" t="s">
        <v>282</v>
      </c>
      <c r="D163" s="34">
        <v>170520112</v>
      </c>
      <c r="E163" s="34">
        <v>1</v>
      </c>
      <c r="F163" s="34" t="s">
        <v>323</v>
      </c>
      <c r="G163" s="34">
        <v>2</v>
      </c>
      <c r="H163" s="48" t="s">
        <v>997</v>
      </c>
      <c r="I163" s="45">
        <v>320200</v>
      </c>
      <c r="J163" s="48" t="s">
        <v>998</v>
      </c>
      <c r="K163" s="34" t="s">
        <v>999</v>
      </c>
      <c r="L163" s="34"/>
      <c r="M163" s="34"/>
    </row>
    <row r="164" s="30" customFormat="1" customHeight="1" spans="1:13">
      <c r="A164" s="34">
        <v>42</v>
      </c>
      <c r="B164" s="34">
        <v>1705201</v>
      </c>
      <c r="C164" s="34" t="s">
        <v>282</v>
      </c>
      <c r="D164" s="34">
        <v>170520113</v>
      </c>
      <c r="E164" s="34">
        <v>1</v>
      </c>
      <c r="F164" s="34" t="s">
        <v>324</v>
      </c>
      <c r="G164" s="34">
        <v>2</v>
      </c>
      <c r="H164" s="48" t="s">
        <v>1000</v>
      </c>
      <c r="I164" s="45">
        <v>321000</v>
      </c>
      <c r="J164" s="48" t="s">
        <v>1001</v>
      </c>
      <c r="K164" s="34" t="s">
        <v>1002</v>
      </c>
      <c r="L164" s="34"/>
      <c r="M164" s="34"/>
    </row>
    <row r="165" s="30" customFormat="1" customHeight="1" spans="1:13">
      <c r="A165" s="34">
        <v>42</v>
      </c>
      <c r="B165" s="34">
        <v>1705201</v>
      </c>
      <c r="C165" s="34" t="s">
        <v>282</v>
      </c>
      <c r="D165" s="34">
        <v>170520114</v>
      </c>
      <c r="E165" s="34">
        <v>1</v>
      </c>
      <c r="F165" s="34" t="s">
        <v>325</v>
      </c>
      <c r="G165" s="34">
        <v>2</v>
      </c>
      <c r="H165" s="48" t="s">
        <v>1003</v>
      </c>
      <c r="I165" s="45">
        <v>140600</v>
      </c>
      <c r="J165" s="48" t="s">
        <v>1004</v>
      </c>
      <c r="K165" s="34" t="s">
        <v>1005</v>
      </c>
      <c r="L165" s="34"/>
      <c r="M165" s="34"/>
    </row>
    <row r="166" s="30" customFormat="1" customHeight="1" spans="1:13">
      <c r="A166" s="34">
        <v>42</v>
      </c>
      <c r="B166" s="34">
        <v>1705201</v>
      </c>
      <c r="C166" s="34" t="s">
        <v>282</v>
      </c>
      <c r="D166" s="34">
        <v>170520115</v>
      </c>
      <c r="E166" s="34">
        <v>1</v>
      </c>
      <c r="F166" s="34" t="s">
        <v>326</v>
      </c>
      <c r="G166" s="34">
        <v>2</v>
      </c>
      <c r="H166" s="48" t="s">
        <v>1006</v>
      </c>
      <c r="I166" s="45">
        <v>140100</v>
      </c>
      <c r="J166" s="48" t="s">
        <v>1007</v>
      </c>
      <c r="K166" s="34" t="s">
        <v>1008</v>
      </c>
      <c r="L166" s="34"/>
      <c r="M166" s="34"/>
    </row>
    <row r="167" s="30" customFormat="1" customHeight="1" spans="1:13">
      <c r="A167" s="34">
        <v>42</v>
      </c>
      <c r="B167" s="34">
        <v>1705201</v>
      </c>
      <c r="C167" s="34" t="s">
        <v>282</v>
      </c>
      <c r="D167" s="34">
        <v>170520116</v>
      </c>
      <c r="E167" s="34">
        <v>1</v>
      </c>
      <c r="F167" s="34" t="s">
        <v>327</v>
      </c>
      <c r="G167" s="34">
        <v>2</v>
      </c>
      <c r="H167" s="48" t="s">
        <v>1009</v>
      </c>
      <c r="I167" s="45">
        <v>441500</v>
      </c>
      <c r="J167" s="48" t="s">
        <v>1010</v>
      </c>
      <c r="K167" s="34" t="s">
        <v>1011</v>
      </c>
      <c r="L167" s="34"/>
      <c r="M167" s="34"/>
    </row>
    <row r="168" s="30" customFormat="1" customHeight="1" spans="1:13">
      <c r="A168" s="34">
        <v>42</v>
      </c>
      <c r="B168" s="34">
        <v>1705201</v>
      </c>
      <c r="C168" s="34" t="s">
        <v>282</v>
      </c>
      <c r="D168" s="34">
        <v>170520117</v>
      </c>
      <c r="E168" s="34">
        <v>1</v>
      </c>
      <c r="F168" s="34" t="s">
        <v>328</v>
      </c>
      <c r="G168" s="34">
        <v>2</v>
      </c>
      <c r="H168" s="48" t="s">
        <v>1012</v>
      </c>
      <c r="I168" s="45">
        <v>321000</v>
      </c>
      <c r="J168" s="48" t="s">
        <v>1013</v>
      </c>
      <c r="K168" s="34" t="s">
        <v>1014</v>
      </c>
      <c r="L168" s="34"/>
      <c r="M168" s="34"/>
    </row>
    <row r="169" s="30" customFormat="1" customHeight="1" spans="1:13">
      <c r="A169" s="34">
        <v>42</v>
      </c>
      <c r="B169" s="34">
        <v>1705201</v>
      </c>
      <c r="C169" s="34" t="s">
        <v>282</v>
      </c>
      <c r="D169" s="34">
        <v>170520118</v>
      </c>
      <c r="E169" s="34">
        <v>1</v>
      </c>
      <c r="F169" s="34" t="s">
        <v>329</v>
      </c>
      <c r="G169" s="34">
        <v>2</v>
      </c>
      <c r="H169" s="48" t="s">
        <v>1015</v>
      </c>
      <c r="I169" s="45">
        <v>320300</v>
      </c>
      <c r="J169" s="48" t="s">
        <v>1016</v>
      </c>
      <c r="K169" s="34" t="s">
        <v>1017</v>
      </c>
      <c r="L169" s="34"/>
      <c r="M169" s="34"/>
    </row>
    <row r="170" s="30" customFormat="1" customHeight="1" spans="1:13">
      <c r="A170" s="34">
        <v>42</v>
      </c>
      <c r="B170" s="34">
        <v>1705201</v>
      </c>
      <c r="C170" s="34" t="s">
        <v>282</v>
      </c>
      <c r="D170" s="34">
        <v>170520119</v>
      </c>
      <c r="E170" s="34">
        <v>1</v>
      </c>
      <c r="F170" s="34" t="s">
        <v>330</v>
      </c>
      <c r="G170" s="34">
        <v>2</v>
      </c>
      <c r="H170" s="48" t="s">
        <v>1018</v>
      </c>
      <c r="I170" s="45">
        <v>361100</v>
      </c>
      <c r="J170" s="48" t="s">
        <v>1019</v>
      </c>
      <c r="K170" s="34" t="s">
        <v>1020</v>
      </c>
      <c r="L170" s="34"/>
      <c r="M170" s="34"/>
    </row>
    <row r="171" s="30" customFormat="1" customHeight="1" spans="1:13">
      <c r="A171" s="34">
        <v>42</v>
      </c>
      <c r="B171" s="34">
        <v>1705201</v>
      </c>
      <c r="C171" s="34" t="s">
        <v>282</v>
      </c>
      <c r="D171" s="34">
        <v>170520120</v>
      </c>
      <c r="E171" s="34">
        <v>1</v>
      </c>
      <c r="F171" s="34" t="s">
        <v>331</v>
      </c>
      <c r="G171" s="34">
        <v>2</v>
      </c>
      <c r="H171" s="48" t="s">
        <v>1021</v>
      </c>
      <c r="I171" s="45">
        <v>320500</v>
      </c>
      <c r="J171" s="48" t="s">
        <v>1022</v>
      </c>
      <c r="K171" s="34" t="s">
        <v>1023</v>
      </c>
      <c r="L171" s="34"/>
      <c r="M171" s="34"/>
    </row>
    <row r="172" s="30" customFormat="1" customHeight="1" spans="1:13">
      <c r="A172" s="34">
        <v>42</v>
      </c>
      <c r="B172" s="34">
        <v>1705201</v>
      </c>
      <c r="C172" s="34" t="s">
        <v>282</v>
      </c>
      <c r="D172" s="34">
        <v>170520121</v>
      </c>
      <c r="E172" s="34">
        <v>1</v>
      </c>
      <c r="F172" s="34" t="s">
        <v>332</v>
      </c>
      <c r="G172" s="34">
        <v>2</v>
      </c>
      <c r="H172" s="48" t="s">
        <v>1024</v>
      </c>
      <c r="I172" s="45">
        <v>441200</v>
      </c>
      <c r="J172" s="48" t="s">
        <v>1025</v>
      </c>
      <c r="K172" s="34" t="s">
        <v>1026</v>
      </c>
      <c r="L172" s="34"/>
      <c r="M172" s="34"/>
    </row>
    <row r="173" s="30" customFormat="1" customHeight="1" spans="1:13">
      <c r="A173" s="34">
        <v>42</v>
      </c>
      <c r="B173" s="34">
        <v>1705201</v>
      </c>
      <c r="C173" s="34" t="s">
        <v>282</v>
      </c>
      <c r="D173" s="34">
        <v>170520122</v>
      </c>
      <c r="E173" s="34">
        <v>1</v>
      </c>
      <c r="F173" s="34" t="s">
        <v>333</v>
      </c>
      <c r="G173" s="34">
        <v>2</v>
      </c>
      <c r="H173" s="48" t="s">
        <v>1027</v>
      </c>
      <c r="I173" s="45">
        <v>411600</v>
      </c>
      <c r="J173" s="48" t="s">
        <v>1028</v>
      </c>
      <c r="K173" s="34" t="s">
        <v>1029</v>
      </c>
      <c r="L173" s="34"/>
      <c r="M173" s="34"/>
    </row>
    <row r="174" s="30" customFormat="1" customHeight="1" spans="1:13">
      <c r="A174" s="34">
        <v>42</v>
      </c>
      <c r="B174" s="34">
        <v>1705201</v>
      </c>
      <c r="C174" s="34" t="s">
        <v>282</v>
      </c>
      <c r="D174" s="34">
        <v>170520123</v>
      </c>
      <c r="E174" s="34">
        <v>1</v>
      </c>
      <c r="F174" s="34" t="s">
        <v>335</v>
      </c>
      <c r="G174" s="34">
        <v>2</v>
      </c>
      <c r="H174" s="48" t="s">
        <v>889</v>
      </c>
      <c r="I174" s="45">
        <v>320400</v>
      </c>
      <c r="J174" s="48" t="s">
        <v>1030</v>
      </c>
      <c r="K174" s="34" t="s">
        <v>1031</v>
      </c>
      <c r="L174" s="34"/>
      <c r="M174" s="34"/>
    </row>
    <row r="175" s="30" customFormat="1" customHeight="1" spans="1:13">
      <c r="A175" s="34">
        <v>42</v>
      </c>
      <c r="B175" s="34">
        <v>1705201</v>
      </c>
      <c r="C175" s="34" t="s">
        <v>282</v>
      </c>
      <c r="D175" s="34">
        <v>170520124</v>
      </c>
      <c r="E175" s="34">
        <v>1</v>
      </c>
      <c r="F175" s="34" t="s">
        <v>336</v>
      </c>
      <c r="G175" s="34">
        <v>2</v>
      </c>
      <c r="H175" s="48" t="s">
        <v>1032</v>
      </c>
      <c r="I175" s="45">
        <v>320200</v>
      </c>
      <c r="J175" s="48" t="s">
        <v>1033</v>
      </c>
      <c r="K175" s="34" t="s">
        <v>1034</v>
      </c>
      <c r="L175" s="34"/>
      <c r="M175" s="34"/>
    </row>
    <row r="176" s="30" customFormat="1" customHeight="1" spans="1:13">
      <c r="A176" s="34">
        <v>42</v>
      </c>
      <c r="B176" s="34">
        <v>1705201</v>
      </c>
      <c r="C176" s="34" t="s">
        <v>282</v>
      </c>
      <c r="D176" s="34">
        <v>170520125</v>
      </c>
      <c r="E176" s="34">
        <v>1</v>
      </c>
      <c r="F176" s="34" t="s">
        <v>337</v>
      </c>
      <c r="G176" s="34">
        <v>2</v>
      </c>
      <c r="H176" s="48" t="s">
        <v>1035</v>
      </c>
      <c r="I176" s="45">
        <v>440700</v>
      </c>
      <c r="J176" s="48" t="s">
        <v>1036</v>
      </c>
      <c r="K176" s="34" t="s">
        <v>1037</v>
      </c>
      <c r="L176" s="34"/>
      <c r="M176" s="34"/>
    </row>
    <row r="177" s="30" customFormat="1" customHeight="1" spans="1:13">
      <c r="A177" s="34">
        <v>42</v>
      </c>
      <c r="B177" s="34">
        <v>1705201</v>
      </c>
      <c r="C177" s="34" t="s">
        <v>282</v>
      </c>
      <c r="D177" s="34">
        <v>170520126</v>
      </c>
      <c r="E177" s="34">
        <v>1</v>
      </c>
      <c r="F177" s="34" t="s">
        <v>338</v>
      </c>
      <c r="G177" s="34">
        <v>2</v>
      </c>
      <c r="H177" s="48" t="s">
        <v>1038</v>
      </c>
      <c r="I177" s="45">
        <v>320900</v>
      </c>
      <c r="J177" s="48" t="s">
        <v>1039</v>
      </c>
      <c r="K177" s="34" t="s">
        <v>1040</v>
      </c>
      <c r="L177" s="34"/>
      <c r="M177" s="34"/>
    </row>
    <row r="178" s="30" customFormat="1" customHeight="1" spans="1:13">
      <c r="A178" s="34">
        <v>42</v>
      </c>
      <c r="B178" s="34">
        <v>1705201</v>
      </c>
      <c r="C178" s="34" t="s">
        <v>282</v>
      </c>
      <c r="D178" s="34">
        <v>170520127</v>
      </c>
      <c r="E178" s="34">
        <v>1</v>
      </c>
      <c r="F178" s="34" t="s">
        <v>339</v>
      </c>
      <c r="G178" s="34">
        <v>2</v>
      </c>
      <c r="H178" s="48" t="s">
        <v>1041</v>
      </c>
      <c r="I178" s="45">
        <v>340600</v>
      </c>
      <c r="J178" s="48" t="s">
        <v>1042</v>
      </c>
      <c r="K178" s="34" t="s">
        <v>1043</v>
      </c>
      <c r="L178" s="34"/>
      <c r="M178" s="34"/>
    </row>
    <row r="179" s="30" customFormat="1" customHeight="1" spans="1:13">
      <c r="A179" s="34">
        <v>42</v>
      </c>
      <c r="B179" s="34">
        <v>1705201</v>
      </c>
      <c r="C179" s="34" t="s">
        <v>282</v>
      </c>
      <c r="D179" s="34">
        <v>170520128</v>
      </c>
      <c r="E179" s="34">
        <v>1</v>
      </c>
      <c r="F179" s="34" t="s">
        <v>340</v>
      </c>
      <c r="G179" s="34">
        <v>2</v>
      </c>
      <c r="H179" s="48" t="s">
        <v>1044</v>
      </c>
      <c r="I179" s="45">
        <v>320100</v>
      </c>
      <c r="J179" s="48" t="s">
        <v>1045</v>
      </c>
      <c r="K179" s="34" t="s">
        <v>1046</v>
      </c>
      <c r="L179" s="34"/>
      <c r="M179" s="34"/>
    </row>
    <row r="180" s="30" customFormat="1" customHeight="1" spans="1:13">
      <c r="A180" s="34">
        <v>42</v>
      </c>
      <c r="B180" s="34">
        <v>1705201</v>
      </c>
      <c r="C180" s="34" t="s">
        <v>282</v>
      </c>
      <c r="D180" s="34">
        <v>170520129</v>
      </c>
      <c r="E180" s="34">
        <v>1</v>
      </c>
      <c r="F180" s="34" t="s">
        <v>341</v>
      </c>
      <c r="G180" s="34">
        <v>2</v>
      </c>
      <c r="H180" s="48" t="s">
        <v>1047</v>
      </c>
      <c r="I180" s="45">
        <v>320300</v>
      </c>
      <c r="J180" s="48" t="s">
        <v>1048</v>
      </c>
      <c r="K180" s="34" t="s">
        <v>1049</v>
      </c>
      <c r="L180" s="34"/>
      <c r="M180" s="34"/>
    </row>
    <row r="181" s="30" customFormat="1" customHeight="1" spans="1:13">
      <c r="A181" s="34">
        <v>42</v>
      </c>
      <c r="B181" s="34">
        <v>1705201</v>
      </c>
      <c r="C181" s="34" t="s">
        <v>282</v>
      </c>
      <c r="D181" s="34">
        <v>170520130</v>
      </c>
      <c r="E181" s="34">
        <v>1</v>
      </c>
      <c r="F181" s="34" t="s">
        <v>342</v>
      </c>
      <c r="G181" s="34">
        <v>2</v>
      </c>
      <c r="H181" s="48" t="s">
        <v>1050</v>
      </c>
      <c r="I181" s="45">
        <v>321300</v>
      </c>
      <c r="J181" s="48" t="s">
        <v>1051</v>
      </c>
      <c r="K181" s="34" t="s">
        <v>1052</v>
      </c>
      <c r="L181" s="34"/>
      <c r="M181" s="34"/>
    </row>
    <row r="182" s="30" customFormat="1" customHeight="1" spans="1:13">
      <c r="A182" s="34">
        <v>42</v>
      </c>
      <c r="B182" s="34">
        <v>1705201</v>
      </c>
      <c r="C182" s="34" t="s">
        <v>282</v>
      </c>
      <c r="D182" s="34">
        <v>170520131</v>
      </c>
      <c r="E182" s="34">
        <v>1</v>
      </c>
      <c r="F182" s="34" t="s">
        <v>343</v>
      </c>
      <c r="G182" s="34">
        <v>2</v>
      </c>
      <c r="H182" s="48" t="s">
        <v>1053</v>
      </c>
      <c r="I182" s="45">
        <v>321300</v>
      </c>
      <c r="J182" s="48" t="s">
        <v>1054</v>
      </c>
      <c r="K182" s="34" t="s">
        <v>1055</v>
      </c>
      <c r="L182" s="34"/>
      <c r="M182" s="34"/>
    </row>
    <row r="183" s="30" customFormat="1" customHeight="1" spans="1:13">
      <c r="A183" s="34">
        <v>42</v>
      </c>
      <c r="B183" s="34">
        <v>1705201</v>
      </c>
      <c r="C183" s="34" t="s">
        <v>282</v>
      </c>
      <c r="D183" s="34">
        <v>170520132</v>
      </c>
      <c r="E183" s="34">
        <v>1</v>
      </c>
      <c r="F183" s="34" t="s">
        <v>344</v>
      </c>
      <c r="G183" s="34">
        <v>2</v>
      </c>
      <c r="H183" s="48" t="s">
        <v>1056</v>
      </c>
      <c r="I183" s="45">
        <v>610500</v>
      </c>
      <c r="J183" s="48" t="s">
        <v>1057</v>
      </c>
      <c r="K183" s="34" t="s">
        <v>1058</v>
      </c>
      <c r="L183" s="34"/>
      <c r="M183" s="34"/>
    </row>
    <row r="184" s="30" customFormat="1" customHeight="1" spans="1:13">
      <c r="A184" s="34">
        <v>42</v>
      </c>
      <c r="B184" s="34">
        <v>1705201</v>
      </c>
      <c r="C184" s="34" t="s">
        <v>282</v>
      </c>
      <c r="D184" s="34">
        <v>170520133</v>
      </c>
      <c r="E184" s="34">
        <v>1</v>
      </c>
      <c r="F184" s="34" t="s">
        <v>345</v>
      </c>
      <c r="G184" s="34">
        <v>2</v>
      </c>
      <c r="H184" s="48" t="s">
        <v>852</v>
      </c>
      <c r="I184" s="45">
        <v>500000</v>
      </c>
      <c r="J184" s="48" t="s">
        <v>1059</v>
      </c>
      <c r="K184" s="34" t="s">
        <v>1060</v>
      </c>
      <c r="L184" s="34"/>
      <c r="M184" s="34"/>
    </row>
    <row r="185" s="30" customFormat="1" customHeight="1" spans="1:13">
      <c r="A185" s="34">
        <v>42</v>
      </c>
      <c r="B185" s="34">
        <v>1705201</v>
      </c>
      <c r="C185" s="34" t="s">
        <v>282</v>
      </c>
      <c r="D185" s="34">
        <v>170520134</v>
      </c>
      <c r="E185" s="34">
        <v>1</v>
      </c>
      <c r="F185" s="34" t="s">
        <v>346</v>
      </c>
      <c r="G185" s="34">
        <v>2</v>
      </c>
      <c r="H185" s="48" t="s">
        <v>1061</v>
      </c>
      <c r="I185" s="45">
        <v>440200</v>
      </c>
      <c r="J185" s="48" t="s">
        <v>1062</v>
      </c>
      <c r="K185" s="34" t="s">
        <v>1063</v>
      </c>
      <c r="L185" s="34"/>
      <c r="M185" s="34"/>
    </row>
    <row r="186" s="30" customFormat="1" customHeight="1" spans="1:13">
      <c r="A186" s="34">
        <v>42</v>
      </c>
      <c r="B186" s="34">
        <v>1705201</v>
      </c>
      <c r="C186" s="34" t="s">
        <v>282</v>
      </c>
      <c r="D186" s="34">
        <v>170520135</v>
      </c>
      <c r="E186" s="34">
        <v>1</v>
      </c>
      <c r="F186" s="34" t="s">
        <v>347</v>
      </c>
      <c r="G186" s="34">
        <v>2</v>
      </c>
      <c r="H186" s="48" t="s">
        <v>1064</v>
      </c>
      <c r="I186" s="45">
        <v>320800</v>
      </c>
      <c r="J186" s="48" t="s">
        <v>1065</v>
      </c>
      <c r="K186" s="34" t="s">
        <v>1066</v>
      </c>
      <c r="L186" s="34"/>
      <c r="M186" s="34"/>
    </row>
    <row r="187" s="30" customFormat="1" customHeight="1" spans="1:13">
      <c r="A187" s="34">
        <v>42</v>
      </c>
      <c r="B187" s="34">
        <v>1705201</v>
      </c>
      <c r="C187" s="34" t="s">
        <v>282</v>
      </c>
      <c r="D187" s="34">
        <v>170520136</v>
      </c>
      <c r="E187" s="34">
        <v>1</v>
      </c>
      <c r="F187" s="34" t="s">
        <v>348</v>
      </c>
      <c r="G187" s="34">
        <v>2</v>
      </c>
      <c r="H187" s="48" t="s">
        <v>1067</v>
      </c>
      <c r="I187" s="45">
        <v>320300</v>
      </c>
      <c r="J187" s="48" t="s">
        <v>1068</v>
      </c>
      <c r="K187" s="34" t="s">
        <v>1069</v>
      </c>
      <c r="L187" s="34"/>
      <c r="M187" s="34"/>
    </row>
    <row r="188" s="30" customFormat="1" customHeight="1" spans="1:13">
      <c r="A188" s="34">
        <v>42</v>
      </c>
      <c r="B188" s="34">
        <v>1705201</v>
      </c>
      <c r="C188" s="34" t="s">
        <v>282</v>
      </c>
      <c r="D188" s="34">
        <v>170520137</v>
      </c>
      <c r="E188" s="34">
        <v>1</v>
      </c>
      <c r="F188" s="34" t="s">
        <v>349</v>
      </c>
      <c r="G188" s="34">
        <v>2</v>
      </c>
      <c r="H188" s="48" t="s">
        <v>1070</v>
      </c>
      <c r="I188" s="45">
        <v>321100</v>
      </c>
      <c r="J188" s="48" t="s">
        <v>1071</v>
      </c>
      <c r="K188" s="34" t="s">
        <v>1072</v>
      </c>
      <c r="L188" s="34"/>
      <c r="M188" s="34"/>
    </row>
    <row r="189" s="30" customFormat="1" customHeight="1" spans="1:13">
      <c r="A189" s="34">
        <v>42</v>
      </c>
      <c r="B189" s="34">
        <v>1705201</v>
      </c>
      <c r="C189" s="34" t="s">
        <v>282</v>
      </c>
      <c r="D189" s="34">
        <v>170520138</v>
      </c>
      <c r="E189" s="34">
        <v>1</v>
      </c>
      <c r="F189" s="34" t="s">
        <v>350</v>
      </c>
      <c r="G189" s="34">
        <v>2</v>
      </c>
      <c r="H189" s="48" t="s">
        <v>1047</v>
      </c>
      <c r="I189" s="45">
        <v>320300</v>
      </c>
      <c r="J189" s="48" t="s">
        <v>1073</v>
      </c>
      <c r="K189" s="34" t="s">
        <v>1074</v>
      </c>
      <c r="L189" s="34"/>
      <c r="M189" s="34"/>
    </row>
    <row r="190" s="30" customFormat="1" customHeight="1" spans="1:13">
      <c r="A190" s="34">
        <v>42</v>
      </c>
      <c r="B190" s="34">
        <v>1705201</v>
      </c>
      <c r="C190" s="34" t="s">
        <v>282</v>
      </c>
      <c r="D190" s="34">
        <v>170520139</v>
      </c>
      <c r="E190" s="34">
        <v>16</v>
      </c>
      <c r="F190" s="34" t="s">
        <v>351</v>
      </c>
      <c r="G190" s="34">
        <v>2</v>
      </c>
      <c r="H190" s="48" t="s">
        <v>1075</v>
      </c>
      <c r="I190" s="45">
        <v>530800</v>
      </c>
      <c r="J190" s="48" t="s">
        <v>1076</v>
      </c>
      <c r="K190" s="34" t="s">
        <v>1077</v>
      </c>
      <c r="L190" s="34"/>
      <c r="M190" s="34"/>
    </row>
    <row r="191" s="30" customFormat="1" customHeight="1" spans="1:13">
      <c r="A191" s="34">
        <v>42</v>
      </c>
      <c r="B191" s="34">
        <v>1705201</v>
      </c>
      <c r="C191" s="34" t="s">
        <v>282</v>
      </c>
      <c r="D191" s="34">
        <v>170520140</v>
      </c>
      <c r="E191" s="34">
        <v>1</v>
      </c>
      <c r="F191" s="34" t="s">
        <v>352</v>
      </c>
      <c r="G191" s="34">
        <v>2</v>
      </c>
      <c r="H191" s="48" t="s">
        <v>1078</v>
      </c>
      <c r="I191" s="45">
        <v>330500</v>
      </c>
      <c r="J191" s="48" t="s">
        <v>1079</v>
      </c>
      <c r="K191" s="34" t="s">
        <v>1080</v>
      </c>
      <c r="L191" s="34"/>
      <c r="M191" s="34"/>
    </row>
    <row r="192" s="30" customFormat="1" customHeight="1" spans="1:13">
      <c r="A192" s="34">
        <v>42</v>
      </c>
      <c r="B192" s="34">
        <v>1705201</v>
      </c>
      <c r="C192" s="34" t="s">
        <v>282</v>
      </c>
      <c r="D192" s="34">
        <v>170520141</v>
      </c>
      <c r="E192" s="34">
        <v>1</v>
      </c>
      <c r="F192" s="34" t="s">
        <v>283</v>
      </c>
      <c r="G192" s="34">
        <v>2</v>
      </c>
      <c r="H192" s="48" t="s">
        <v>1081</v>
      </c>
      <c r="I192" s="45">
        <v>320500</v>
      </c>
      <c r="J192" s="48" t="s">
        <v>1082</v>
      </c>
      <c r="K192" s="34" t="s">
        <v>1083</v>
      </c>
      <c r="L192" s="34"/>
      <c r="M192" s="34"/>
    </row>
    <row r="193" s="30" customFormat="1" customHeight="1" spans="1:13">
      <c r="A193" s="34">
        <v>42</v>
      </c>
      <c r="B193" s="34">
        <v>1705201</v>
      </c>
      <c r="C193" s="34" t="s">
        <v>282</v>
      </c>
      <c r="D193" s="34">
        <v>170520142</v>
      </c>
      <c r="E193" s="34">
        <v>1</v>
      </c>
      <c r="F193" s="34" t="s">
        <v>284</v>
      </c>
      <c r="G193" s="34">
        <v>2</v>
      </c>
      <c r="H193" s="48" t="s">
        <v>1084</v>
      </c>
      <c r="I193" s="45">
        <v>530800</v>
      </c>
      <c r="J193" s="48" t="s">
        <v>1085</v>
      </c>
      <c r="K193" s="34" t="s">
        <v>1086</v>
      </c>
      <c r="L193" s="34"/>
      <c r="M193" s="34"/>
    </row>
    <row r="194" s="30" customFormat="1" customHeight="1" spans="1:13">
      <c r="A194" s="34">
        <v>42</v>
      </c>
      <c r="B194" s="34">
        <v>1705201</v>
      </c>
      <c r="C194" s="34" t="s">
        <v>282</v>
      </c>
      <c r="D194" s="34">
        <v>170520143</v>
      </c>
      <c r="E194" s="34">
        <v>1</v>
      </c>
      <c r="F194" s="34" t="s">
        <v>287</v>
      </c>
      <c r="G194" s="34">
        <v>2</v>
      </c>
      <c r="H194" s="48" t="s">
        <v>1087</v>
      </c>
      <c r="I194" s="45">
        <v>320800</v>
      </c>
      <c r="J194" s="48" t="s">
        <v>1088</v>
      </c>
      <c r="K194" s="34" t="s">
        <v>1089</v>
      </c>
      <c r="L194" s="34"/>
      <c r="M194" s="34"/>
    </row>
    <row r="195" s="30" customFormat="1" customHeight="1" spans="1:13">
      <c r="A195" s="34">
        <v>42</v>
      </c>
      <c r="B195" s="34">
        <v>1705201</v>
      </c>
      <c r="C195" s="34" t="s">
        <v>282</v>
      </c>
      <c r="D195" s="34">
        <v>170520144</v>
      </c>
      <c r="E195" s="34">
        <v>1</v>
      </c>
      <c r="F195" s="34" t="s">
        <v>288</v>
      </c>
      <c r="G195" s="34">
        <v>2</v>
      </c>
      <c r="H195" s="48" t="s">
        <v>1090</v>
      </c>
      <c r="I195" s="45">
        <v>320300</v>
      </c>
      <c r="J195" s="48" t="s">
        <v>1091</v>
      </c>
      <c r="K195" s="34" t="s">
        <v>1092</v>
      </c>
      <c r="L195" s="34"/>
      <c r="M195" s="34"/>
    </row>
    <row r="196" s="30" customFormat="1" customHeight="1" spans="1:13">
      <c r="A196" s="34">
        <v>42</v>
      </c>
      <c r="B196" s="34">
        <v>1705201</v>
      </c>
      <c r="C196" s="34" t="s">
        <v>282</v>
      </c>
      <c r="D196" s="34">
        <v>170520145</v>
      </c>
      <c r="E196" s="34">
        <v>1</v>
      </c>
      <c r="F196" s="34" t="s">
        <v>289</v>
      </c>
      <c r="G196" s="34">
        <v>2</v>
      </c>
      <c r="H196" s="48" t="s">
        <v>1093</v>
      </c>
      <c r="I196" s="45">
        <v>321200</v>
      </c>
      <c r="J196" s="48" t="s">
        <v>1094</v>
      </c>
      <c r="K196" s="34" t="s">
        <v>1095</v>
      </c>
      <c r="L196" s="34"/>
      <c r="M196" s="34"/>
    </row>
    <row r="197" s="30" customFormat="1" customHeight="1" spans="1:13">
      <c r="A197" s="34">
        <v>42</v>
      </c>
      <c r="B197" s="34">
        <v>1705201</v>
      </c>
      <c r="C197" s="34" t="s">
        <v>282</v>
      </c>
      <c r="D197" s="34">
        <v>170520146</v>
      </c>
      <c r="E197" s="34">
        <v>1</v>
      </c>
      <c r="F197" s="34" t="s">
        <v>291</v>
      </c>
      <c r="G197" s="34">
        <v>2</v>
      </c>
      <c r="H197" s="48" t="s">
        <v>868</v>
      </c>
      <c r="I197" s="45">
        <v>321100</v>
      </c>
      <c r="J197" s="48" t="s">
        <v>1096</v>
      </c>
      <c r="K197" s="34" t="s">
        <v>1097</v>
      </c>
      <c r="L197" s="34"/>
      <c r="M197" s="34"/>
    </row>
    <row r="198" s="30" customFormat="1" customHeight="1" spans="1:13">
      <c r="A198" s="34">
        <v>42</v>
      </c>
      <c r="B198" s="34">
        <v>1705201</v>
      </c>
      <c r="C198" s="34" t="s">
        <v>282</v>
      </c>
      <c r="D198" s="34">
        <v>170520147</v>
      </c>
      <c r="E198" s="34">
        <v>1</v>
      </c>
      <c r="F198" s="34" t="s">
        <v>292</v>
      </c>
      <c r="G198" s="34">
        <v>2</v>
      </c>
      <c r="H198" s="48" t="s">
        <v>983</v>
      </c>
      <c r="I198" s="45">
        <v>320100</v>
      </c>
      <c r="J198" s="48" t="s">
        <v>1098</v>
      </c>
      <c r="K198" s="34" t="s">
        <v>1099</v>
      </c>
      <c r="L198" s="34"/>
      <c r="M198" s="34"/>
    </row>
    <row r="199" s="30" customFormat="1" customHeight="1" spans="1:13">
      <c r="A199" s="34">
        <v>42</v>
      </c>
      <c r="B199" s="34">
        <v>1705201</v>
      </c>
      <c r="C199" s="34" t="s">
        <v>282</v>
      </c>
      <c r="D199" s="34">
        <v>170520148</v>
      </c>
      <c r="E199" s="34">
        <v>1</v>
      </c>
      <c r="F199" s="34" t="s">
        <v>293</v>
      </c>
      <c r="G199" s="34">
        <v>2</v>
      </c>
      <c r="H199" s="48" t="s">
        <v>1100</v>
      </c>
      <c r="I199" s="45">
        <v>441700</v>
      </c>
      <c r="J199" s="48" t="s">
        <v>1101</v>
      </c>
      <c r="K199" s="34" t="s">
        <v>1102</v>
      </c>
      <c r="L199" s="34"/>
      <c r="M199" s="34"/>
    </row>
    <row r="200" s="30" customFormat="1" customHeight="1" spans="1:13">
      <c r="A200" s="34">
        <v>42</v>
      </c>
      <c r="B200" s="34">
        <v>1705201</v>
      </c>
      <c r="C200" s="34" t="s">
        <v>282</v>
      </c>
      <c r="D200" s="34">
        <v>170520149</v>
      </c>
      <c r="E200" s="34">
        <v>1</v>
      </c>
      <c r="F200" s="34" t="s">
        <v>294</v>
      </c>
      <c r="G200" s="34">
        <v>2</v>
      </c>
      <c r="H200" s="48" t="s">
        <v>1103</v>
      </c>
      <c r="I200" s="45">
        <v>320500</v>
      </c>
      <c r="J200" s="48" t="s">
        <v>1104</v>
      </c>
      <c r="K200" s="34" t="s">
        <v>1105</v>
      </c>
      <c r="L200" s="34"/>
      <c r="M200" s="34"/>
    </row>
    <row r="201" s="30" customFormat="1" customHeight="1" spans="1:13">
      <c r="A201" s="34">
        <v>42</v>
      </c>
      <c r="B201" s="34">
        <v>1705201</v>
      </c>
      <c r="C201" s="34" t="s">
        <v>282</v>
      </c>
      <c r="D201" s="34">
        <v>170520150</v>
      </c>
      <c r="E201" s="34">
        <v>1</v>
      </c>
      <c r="F201" s="34" t="s">
        <v>295</v>
      </c>
      <c r="G201" s="34">
        <v>2</v>
      </c>
      <c r="H201" s="48" t="s">
        <v>1106</v>
      </c>
      <c r="I201" s="45">
        <v>320900</v>
      </c>
      <c r="J201" s="48" t="s">
        <v>1107</v>
      </c>
      <c r="K201" s="34" t="s">
        <v>1108</v>
      </c>
      <c r="L201" s="34"/>
      <c r="M201" s="34"/>
    </row>
    <row r="202" s="30" customFormat="1" customHeight="1" spans="1:13">
      <c r="A202" s="34">
        <v>42</v>
      </c>
      <c r="B202" s="34">
        <v>1705201</v>
      </c>
      <c r="C202" s="34" t="s">
        <v>282</v>
      </c>
      <c r="D202" s="34">
        <v>170520151</v>
      </c>
      <c r="E202" s="34">
        <v>1</v>
      </c>
      <c r="F202" s="34" t="s">
        <v>296</v>
      </c>
      <c r="G202" s="34">
        <v>1</v>
      </c>
      <c r="H202" s="48" t="s">
        <v>989</v>
      </c>
      <c r="I202" s="45">
        <v>361100</v>
      </c>
      <c r="J202" s="48" t="s">
        <v>1109</v>
      </c>
      <c r="K202" s="34" t="s">
        <v>1110</v>
      </c>
      <c r="L202" s="34"/>
      <c r="M202" s="34"/>
    </row>
    <row r="203" s="30" customFormat="1" customHeight="1" spans="1:13">
      <c r="A203" s="34">
        <v>42</v>
      </c>
      <c r="B203" s="34">
        <v>1705201</v>
      </c>
      <c r="C203" s="34" t="s">
        <v>282</v>
      </c>
      <c r="D203" s="34">
        <v>170520152</v>
      </c>
      <c r="E203" s="34">
        <v>1</v>
      </c>
      <c r="F203" s="34" t="s">
        <v>297</v>
      </c>
      <c r="G203" s="34">
        <v>1</v>
      </c>
      <c r="H203" s="48" t="s">
        <v>954</v>
      </c>
      <c r="I203" s="45">
        <v>500000</v>
      </c>
      <c r="J203" s="48" t="s">
        <v>1111</v>
      </c>
      <c r="K203" s="34" t="s">
        <v>1112</v>
      </c>
      <c r="L203" s="34"/>
      <c r="M203" s="34"/>
    </row>
    <row r="204" s="30" customFormat="1" customHeight="1" spans="1:13">
      <c r="A204" s="34">
        <v>42</v>
      </c>
      <c r="B204" s="34">
        <v>1705201</v>
      </c>
      <c r="C204" s="34" t="s">
        <v>282</v>
      </c>
      <c r="D204" s="34">
        <v>170520153</v>
      </c>
      <c r="E204" s="34">
        <v>1</v>
      </c>
      <c r="F204" s="34" t="s">
        <v>299</v>
      </c>
      <c r="G204" s="34">
        <v>1</v>
      </c>
      <c r="H204" s="48" t="s">
        <v>1113</v>
      </c>
      <c r="I204" s="45">
        <v>440300</v>
      </c>
      <c r="J204" s="48" t="s">
        <v>1114</v>
      </c>
      <c r="K204" s="34" t="s">
        <v>1115</v>
      </c>
      <c r="L204" s="34"/>
      <c r="M204" s="34"/>
    </row>
    <row r="205" s="30" customFormat="1" customHeight="1" spans="1:13">
      <c r="A205" s="34">
        <v>42</v>
      </c>
      <c r="B205" s="34">
        <v>1705201</v>
      </c>
      <c r="C205" s="34" t="s">
        <v>282</v>
      </c>
      <c r="D205" s="34">
        <v>170520154</v>
      </c>
      <c r="E205" s="34">
        <v>1</v>
      </c>
      <c r="F205" s="34" t="s">
        <v>301</v>
      </c>
      <c r="G205" s="34">
        <v>1</v>
      </c>
      <c r="H205" s="48" t="s">
        <v>1116</v>
      </c>
      <c r="I205" s="45">
        <v>445200</v>
      </c>
      <c r="J205" s="48" t="s">
        <v>1117</v>
      </c>
      <c r="K205" s="34" t="s">
        <v>1118</v>
      </c>
      <c r="L205" s="34"/>
      <c r="M205" s="34"/>
    </row>
    <row r="206" s="30" customFormat="1" customHeight="1" spans="1:13">
      <c r="A206" s="34">
        <v>42</v>
      </c>
      <c r="B206" s="34">
        <v>1705201</v>
      </c>
      <c r="C206" s="34" t="s">
        <v>282</v>
      </c>
      <c r="D206" s="34">
        <v>170520158</v>
      </c>
      <c r="E206" s="34">
        <v>1</v>
      </c>
      <c r="F206" s="34" t="s">
        <v>303</v>
      </c>
      <c r="G206" s="34">
        <v>1</v>
      </c>
      <c r="H206" s="48" t="s">
        <v>1119</v>
      </c>
      <c r="I206" s="45">
        <v>320100</v>
      </c>
      <c r="J206" s="48" t="s">
        <v>1120</v>
      </c>
      <c r="K206" s="34" t="s">
        <v>1121</v>
      </c>
      <c r="L206" s="34"/>
      <c r="M206" s="34"/>
    </row>
    <row r="207" s="30" customFormat="1" customHeight="1" spans="1:13">
      <c r="A207" s="34">
        <v>42</v>
      </c>
      <c r="B207" s="34">
        <v>1705201</v>
      </c>
      <c r="C207" s="34" t="s">
        <v>282</v>
      </c>
      <c r="D207" s="34">
        <v>170520159</v>
      </c>
      <c r="E207" s="34">
        <v>1</v>
      </c>
      <c r="F207" s="34" t="s">
        <v>305</v>
      </c>
      <c r="G207" s="34">
        <v>1</v>
      </c>
      <c r="H207" s="48" t="s">
        <v>1122</v>
      </c>
      <c r="I207" s="45">
        <v>320100</v>
      </c>
      <c r="J207" s="48" t="s">
        <v>1123</v>
      </c>
      <c r="K207" s="34" t="s">
        <v>1124</v>
      </c>
      <c r="L207" s="34"/>
      <c r="M207" s="34"/>
    </row>
    <row r="208" s="30" customFormat="1" customHeight="1" spans="1:13">
      <c r="A208" s="34">
        <v>42</v>
      </c>
      <c r="B208" s="34">
        <v>1705201</v>
      </c>
      <c r="C208" s="34" t="s">
        <v>282</v>
      </c>
      <c r="D208" s="34">
        <v>170520160</v>
      </c>
      <c r="E208" s="34">
        <v>1</v>
      </c>
      <c r="F208" s="34" t="s">
        <v>306</v>
      </c>
      <c r="G208" s="34">
        <v>1</v>
      </c>
      <c r="H208" s="48" t="s">
        <v>1125</v>
      </c>
      <c r="I208" s="45">
        <v>310000</v>
      </c>
      <c r="J208" s="48" t="s">
        <v>1126</v>
      </c>
      <c r="K208" s="34" t="s">
        <v>1127</v>
      </c>
      <c r="L208" s="34"/>
      <c r="M208" s="34"/>
    </row>
    <row r="209" s="30" customFormat="1" customHeight="1" spans="1:13">
      <c r="A209" s="34">
        <v>42</v>
      </c>
      <c r="B209" s="34">
        <v>1705201</v>
      </c>
      <c r="C209" s="34" t="s">
        <v>282</v>
      </c>
      <c r="D209" s="34">
        <v>170520161</v>
      </c>
      <c r="E209" s="34">
        <v>1</v>
      </c>
      <c r="F209" s="34" t="s">
        <v>307</v>
      </c>
      <c r="G209" s="34">
        <v>1</v>
      </c>
      <c r="H209" s="48" t="s">
        <v>1128</v>
      </c>
      <c r="I209" s="45">
        <v>320900</v>
      </c>
      <c r="J209" s="48" t="s">
        <v>1129</v>
      </c>
      <c r="K209" s="34" t="s">
        <v>1130</v>
      </c>
      <c r="L209" s="34"/>
      <c r="M209" s="34"/>
    </row>
    <row r="210" s="30" customFormat="1" customHeight="1" spans="1:13">
      <c r="A210" s="34">
        <v>42</v>
      </c>
      <c r="B210" s="34">
        <v>1705201</v>
      </c>
      <c r="C210" s="34" t="s">
        <v>282</v>
      </c>
      <c r="D210" s="34">
        <v>170520162</v>
      </c>
      <c r="E210" s="34">
        <v>1</v>
      </c>
      <c r="F210" s="34" t="s">
        <v>308</v>
      </c>
      <c r="G210" s="34">
        <v>1</v>
      </c>
      <c r="H210" s="48" t="s">
        <v>1131</v>
      </c>
      <c r="I210" s="45">
        <v>440600</v>
      </c>
      <c r="J210" s="48" t="s">
        <v>1132</v>
      </c>
      <c r="K210" s="34" t="s">
        <v>1133</v>
      </c>
      <c r="L210" s="34"/>
      <c r="M210" s="34"/>
    </row>
    <row r="211" s="30" customFormat="1" customHeight="1" spans="1:13">
      <c r="A211" s="34">
        <v>42</v>
      </c>
      <c r="B211" s="34">
        <v>1705201</v>
      </c>
      <c r="C211" s="34" t="s">
        <v>282</v>
      </c>
      <c r="D211" s="34">
        <v>170520163</v>
      </c>
      <c r="E211" s="34">
        <v>1</v>
      </c>
      <c r="F211" s="34" t="s">
        <v>309</v>
      </c>
      <c r="G211" s="34">
        <v>1</v>
      </c>
      <c r="H211" s="48" t="s">
        <v>1134</v>
      </c>
      <c r="I211" s="45">
        <v>441300</v>
      </c>
      <c r="J211" s="48" t="s">
        <v>1135</v>
      </c>
      <c r="K211" s="34" t="s">
        <v>1136</v>
      </c>
      <c r="L211" s="34"/>
      <c r="M211" s="34"/>
    </row>
    <row r="212" s="30" customFormat="1" customHeight="1" spans="1:13">
      <c r="A212" s="34">
        <v>42</v>
      </c>
      <c r="B212" s="34">
        <v>1705201</v>
      </c>
      <c r="C212" s="34" t="s">
        <v>282</v>
      </c>
      <c r="D212" s="34">
        <v>170520164</v>
      </c>
      <c r="E212" s="34">
        <v>1</v>
      </c>
      <c r="F212" s="34" t="s">
        <v>354</v>
      </c>
      <c r="G212" s="34">
        <v>1</v>
      </c>
      <c r="H212" s="48" t="s">
        <v>1137</v>
      </c>
      <c r="I212" s="45">
        <v>320300</v>
      </c>
      <c r="J212" s="48" t="s">
        <v>1138</v>
      </c>
      <c r="K212" s="34" t="s">
        <v>1139</v>
      </c>
      <c r="L212" s="34"/>
      <c r="M212" s="34"/>
    </row>
    <row r="213" s="30" customFormat="1" customHeight="1" spans="1:13">
      <c r="A213" s="34">
        <v>42</v>
      </c>
      <c r="B213" s="34">
        <v>1705201</v>
      </c>
      <c r="C213" s="34" t="s">
        <v>282</v>
      </c>
      <c r="D213" s="34">
        <v>170520165</v>
      </c>
      <c r="E213" s="34">
        <v>1</v>
      </c>
      <c r="F213" s="34" t="s">
        <v>358</v>
      </c>
      <c r="G213" s="34">
        <v>2</v>
      </c>
      <c r="H213" s="48" t="s">
        <v>1140</v>
      </c>
      <c r="I213" s="124" t="s">
        <v>542</v>
      </c>
      <c r="J213" s="48" t="s">
        <v>1141</v>
      </c>
      <c r="K213" s="38" t="s">
        <v>1142</v>
      </c>
      <c r="L213" s="34"/>
      <c r="M213" s="34"/>
    </row>
    <row r="214" s="30" customFormat="1" customHeight="1" spans="1:13">
      <c r="A214" s="34">
        <v>42</v>
      </c>
      <c r="B214" s="34">
        <v>1705201</v>
      </c>
      <c r="C214" s="34" t="s">
        <v>282</v>
      </c>
      <c r="D214" s="34">
        <v>170520166</v>
      </c>
      <c r="E214" s="34">
        <v>1</v>
      </c>
      <c r="F214" s="58" t="s">
        <v>359</v>
      </c>
      <c r="G214" s="34">
        <v>2</v>
      </c>
      <c r="H214" s="48" t="s">
        <v>1143</v>
      </c>
      <c r="I214" s="124" t="s">
        <v>602</v>
      </c>
      <c r="J214" s="62" t="s">
        <v>1144</v>
      </c>
      <c r="K214" s="58" t="s">
        <v>1145</v>
      </c>
      <c r="L214" s="34"/>
      <c r="M214" s="34"/>
    </row>
    <row r="215" s="30" customFormat="1" customHeight="1" spans="1:13">
      <c r="A215" s="34">
        <v>42</v>
      </c>
      <c r="B215" s="34">
        <v>1705201</v>
      </c>
      <c r="C215" s="34" t="s">
        <v>282</v>
      </c>
      <c r="D215" s="34">
        <v>170520167</v>
      </c>
      <c r="E215" s="34">
        <v>1</v>
      </c>
      <c r="F215" s="58" t="s">
        <v>353</v>
      </c>
      <c r="G215" s="34">
        <v>1</v>
      </c>
      <c r="H215" s="48" t="s">
        <v>1146</v>
      </c>
      <c r="I215" s="124" t="s">
        <v>570</v>
      </c>
      <c r="J215" s="62" t="s">
        <v>1147</v>
      </c>
      <c r="K215" s="58" t="s">
        <v>1148</v>
      </c>
      <c r="L215" s="34"/>
      <c r="M215" s="34"/>
    </row>
    <row r="216" s="30" customFormat="1" customHeight="1" spans="1:13">
      <c r="A216" s="34">
        <v>42</v>
      </c>
      <c r="B216" s="34">
        <v>1705201</v>
      </c>
      <c r="C216" s="34" t="s">
        <v>282</v>
      </c>
      <c r="D216" s="34">
        <v>170520168</v>
      </c>
      <c r="E216" s="34">
        <v>1</v>
      </c>
      <c r="F216" s="58" t="s">
        <v>356</v>
      </c>
      <c r="G216" s="34">
        <v>1</v>
      </c>
      <c r="H216" s="48" t="s">
        <v>1149</v>
      </c>
      <c r="I216" s="45">
        <v>330100</v>
      </c>
      <c r="J216" s="62" t="s">
        <v>1150</v>
      </c>
      <c r="K216" s="58" t="s">
        <v>1151</v>
      </c>
      <c r="L216" s="34"/>
      <c r="M216" s="34"/>
    </row>
    <row r="217" s="30" customFormat="1" customHeight="1" spans="1:13">
      <c r="A217" s="34">
        <v>42</v>
      </c>
      <c r="B217" s="34">
        <v>1705201</v>
      </c>
      <c r="C217" s="34" t="s">
        <v>282</v>
      </c>
      <c r="D217" s="34">
        <v>170520169</v>
      </c>
      <c r="E217" s="34">
        <v>1</v>
      </c>
      <c r="F217" s="58" t="s">
        <v>357</v>
      </c>
      <c r="G217" s="34">
        <v>2</v>
      </c>
      <c r="H217" s="48" t="s">
        <v>1152</v>
      </c>
      <c r="I217" s="124" t="s">
        <v>570</v>
      </c>
      <c r="J217" s="62" t="s">
        <v>1153</v>
      </c>
      <c r="K217" s="58" t="s">
        <v>1154</v>
      </c>
      <c r="L217" s="34"/>
      <c r="M217" s="34"/>
    </row>
    <row r="218" s="30" customFormat="1" customHeight="1" spans="1:13">
      <c r="A218" s="34">
        <v>42</v>
      </c>
      <c r="B218" s="34">
        <v>1705201</v>
      </c>
      <c r="C218" s="34" t="s">
        <v>282</v>
      </c>
      <c r="D218" s="34">
        <v>170520170</v>
      </c>
      <c r="E218" s="34">
        <v>1</v>
      </c>
      <c r="F218" s="58" t="s">
        <v>360</v>
      </c>
      <c r="G218" s="34">
        <v>2</v>
      </c>
      <c r="H218" s="48" t="s">
        <v>1155</v>
      </c>
      <c r="I218" s="124" t="s">
        <v>542</v>
      </c>
      <c r="J218" s="62" t="s">
        <v>1156</v>
      </c>
      <c r="K218" s="63" t="s">
        <v>1157</v>
      </c>
      <c r="L218" s="34"/>
      <c r="M218" s="34"/>
    </row>
    <row r="219" s="30" customFormat="1" customHeight="1" spans="1:13">
      <c r="A219" s="34">
        <v>42</v>
      </c>
      <c r="B219" s="34">
        <v>1705202</v>
      </c>
      <c r="C219" s="34" t="s">
        <v>361</v>
      </c>
      <c r="D219" s="59">
        <v>170520201</v>
      </c>
      <c r="E219" s="34">
        <v>1</v>
      </c>
      <c r="F219" s="59" t="s">
        <v>362</v>
      </c>
      <c r="G219" s="34">
        <v>2</v>
      </c>
      <c r="H219" s="60">
        <v>36371</v>
      </c>
      <c r="I219" s="124" t="s">
        <v>570</v>
      </c>
      <c r="J219" s="130" t="s">
        <v>1158</v>
      </c>
      <c r="K219" s="64" t="s">
        <v>1159</v>
      </c>
      <c r="L219" s="34"/>
      <c r="M219" s="34"/>
    </row>
    <row r="220" s="30" customFormat="1" customHeight="1" spans="1:13">
      <c r="A220" s="34">
        <v>42</v>
      </c>
      <c r="B220" s="34">
        <v>1705202</v>
      </c>
      <c r="C220" s="34" t="s">
        <v>361</v>
      </c>
      <c r="D220" s="59">
        <v>170520202</v>
      </c>
      <c r="E220" s="34">
        <v>1</v>
      </c>
      <c r="F220" s="59" t="s">
        <v>363</v>
      </c>
      <c r="G220" s="34">
        <v>2</v>
      </c>
      <c r="H220" s="60">
        <v>36266</v>
      </c>
      <c r="I220" s="124" t="s">
        <v>812</v>
      </c>
      <c r="J220" s="130" t="s">
        <v>1160</v>
      </c>
      <c r="K220" s="64" t="s">
        <v>1161</v>
      </c>
      <c r="L220" s="34"/>
      <c r="M220" s="34"/>
    </row>
    <row r="221" s="30" customFormat="1" customHeight="1" spans="1:13">
      <c r="A221" s="34">
        <v>42</v>
      </c>
      <c r="B221" s="34">
        <v>1705202</v>
      </c>
      <c r="C221" s="34" t="s">
        <v>361</v>
      </c>
      <c r="D221" s="59">
        <v>170520203</v>
      </c>
      <c r="E221" s="34">
        <v>1</v>
      </c>
      <c r="F221" s="59" t="s">
        <v>364</v>
      </c>
      <c r="G221" s="34">
        <v>2</v>
      </c>
      <c r="H221" s="60">
        <v>36165</v>
      </c>
      <c r="I221" s="124" t="s">
        <v>602</v>
      </c>
      <c r="J221" s="130" t="s">
        <v>1162</v>
      </c>
      <c r="K221" s="64" t="s">
        <v>1163</v>
      </c>
      <c r="L221" s="34"/>
      <c r="M221" s="34"/>
    </row>
    <row r="222" s="30" customFormat="1" customHeight="1" spans="1:13">
      <c r="A222" s="34">
        <v>42</v>
      </c>
      <c r="B222" s="34">
        <v>1705202</v>
      </c>
      <c r="C222" s="34" t="s">
        <v>361</v>
      </c>
      <c r="D222" s="59">
        <v>170520204</v>
      </c>
      <c r="E222" s="34">
        <v>1</v>
      </c>
      <c r="F222" s="59" t="s">
        <v>365</v>
      </c>
      <c r="G222" s="34">
        <v>2</v>
      </c>
      <c r="H222" s="60">
        <v>36375</v>
      </c>
      <c r="I222" s="45">
        <v>441600</v>
      </c>
      <c r="J222" s="130" t="s">
        <v>1164</v>
      </c>
      <c r="K222" s="65" t="s">
        <v>1165</v>
      </c>
      <c r="L222" s="65"/>
      <c r="M222" s="65"/>
    </row>
    <row r="223" s="30" customFormat="1" customHeight="1" spans="1:13">
      <c r="A223" s="34">
        <v>42</v>
      </c>
      <c r="B223" s="34">
        <v>1705202</v>
      </c>
      <c r="C223" s="34" t="s">
        <v>361</v>
      </c>
      <c r="D223" s="59">
        <v>170520205</v>
      </c>
      <c r="E223" s="34">
        <v>1</v>
      </c>
      <c r="F223" s="59" t="s">
        <v>1166</v>
      </c>
      <c r="G223" s="34">
        <v>2</v>
      </c>
      <c r="H223" s="60">
        <v>36344</v>
      </c>
      <c r="I223" s="124" t="s">
        <v>812</v>
      </c>
      <c r="J223" s="130" t="s">
        <v>1167</v>
      </c>
      <c r="K223" s="64" t="s">
        <v>1168</v>
      </c>
      <c r="L223" s="34"/>
      <c r="M223" s="34"/>
    </row>
    <row r="224" s="30" customFormat="1" customHeight="1" spans="1:13">
      <c r="A224" s="34">
        <v>42</v>
      </c>
      <c r="B224" s="34">
        <v>1705202</v>
      </c>
      <c r="C224" s="34" t="s">
        <v>361</v>
      </c>
      <c r="D224" s="59">
        <v>170520206</v>
      </c>
      <c r="E224" s="34">
        <v>1</v>
      </c>
      <c r="F224" s="61" t="s">
        <v>368</v>
      </c>
      <c r="G224" s="34">
        <v>2</v>
      </c>
      <c r="H224" s="60">
        <v>36460</v>
      </c>
      <c r="I224" s="124" t="s">
        <v>602</v>
      </c>
      <c r="J224" s="130" t="s">
        <v>1169</v>
      </c>
      <c r="K224" s="64" t="s">
        <v>1170</v>
      </c>
      <c r="L224" s="34"/>
      <c r="M224" s="34"/>
    </row>
    <row r="225" s="30" customFormat="1" customHeight="1" spans="1:13">
      <c r="A225" s="34">
        <v>42</v>
      </c>
      <c r="B225" s="34">
        <v>1705202</v>
      </c>
      <c r="C225" s="34" t="s">
        <v>361</v>
      </c>
      <c r="D225" s="59">
        <v>170520207</v>
      </c>
      <c r="E225" s="34">
        <v>1</v>
      </c>
      <c r="F225" s="59" t="s">
        <v>374</v>
      </c>
      <c r="G225" s="34">
        <v>2</v>
      </c>
      <c r="H225" s="60">
        <v>36190</v>
      </c>
      <c r="I225" s="124" t="s">
        <v>1171</v>
      </c>
      <c r="J225" s="130" t="s">
        <v>1172</v>
      </c>
      <c r="K225" s="64" t="s">
        <v>1173</v>
      </c>
      <c r="L225" s="34"/>
      <c r="M225" s="34"/>
    </row>
    <row r="226" s="30" customFormat="1" customHeight="1" spans="1:13">
      <c r="A226" s="34">
        <v>42</v>
      </c>
      <c r="B226" s="34">
        <v>1705202</v>
      </c>
      <c r="C226" s="34" t="s">
        <v>361</v>
      </c>
      <c r="D226" s="59">
        <v>170520208</v>
      </c>
      <c r="E226" s="34">
        <v>1</v>
      </c>
      <c r="F226" s="59" t="s">
        <v>376</v>
      </c>
      <c r="G226" s="34">
        <v>2</v>
      </c>
      <c r="H226" s="60">
        <v>35924</v>
      </c>
      <c r="I226" s="124" t="s">
        <v>705</v>
      </c>
      <c r="J226" s="130" t="s">
        <v>1174</v>
      </c>
      <c r="K226" s="64" t="s">
        <v>1175</v>
      </c>
      <c r="L226" s="34"/>
      <c r="M226" s="34"/>
    </row>
    <row r="227" s="30" customFormat="1" customHeight="1" spans="1:13">
      <c r="A227" s="34">
        <v>42</v>
      </c>
      <c r="B227" s="34">
        <v>1705202</v>
      </c>
      <c r="C227" s="34" t="s">
        <v>361</v>
      </c>
      <c r="D227" s="59">
        <v>170520209</v>
      </c>
      <c r="E227" s="34">
        <v>1</v>
      </c>
      <c r="F227" s="59" t="s">
        <v>377</v>
      </c>
      <c r="G227" s="34">
        <v>2</v>
      </c>
      <c r="H227" s="60">
        <v>35773</v>
      </c>
      <c r="I227" s="45">
        <v>440500</v>
      </c>
      <c r="J227" s="64" t="s">
        <v>1176</v>
      </c>
      <c r="K227" s="64" t="s">
        <v>1177</v>
      </c>
      <c r="L227" s="34"/>
      <c r="M227" s="34"/>
    </row>
    <row r="228" s="30" customFormat="1" customHeight="1" spans="1:13">
      <c r="A228" s="34">
        <v>42</v>
      </c>
      <c r="B228" s="34">
        <v>1705202</v>
      </c>
      <c r="C228" s="34" t="s">
        <v>361</v>
      </c>
      <c r="D228" s="59">
        <v>170520210</v>
      </c>
      <c r="E228" s="34">
        <v>1</v>
      </c>
      <c r="F228" s="59" t="s">
        <v>378</v>
      </c>
      <c r="G228" s="34">
        <v>2</v>
      </c>
      <c r="H228" s="60">
        <v>36340</v>
      </c>
      <c r="I228" s="45">
        <v>330100</v>
      </c>
      <c r="J228" s="130" t="s">
        <v>1178</v>
      </c>
      <c r="K228" s="64" t="s">
        <v>1179</v>
      </c>
      <c r="L228" s="34"/>
      <c r="M228" s="34"/>
    </row>
    <row r="229" s="30" customFormat="1" customHeight="1" spans="1:13">
      <c r="A229" s="34">
        <v>42</v>
      </c>
      <c r="B229" s="34">
        <v>1705202</v>
      </c>
      <c r="C229" s="34" t="s">
        <v>361</v>
      </c>
      <c r="D229" s="59">
        <v>170520211</v>
      </c>
      <c r="E229" s="34">
        <v>1</v>
      </c>
      <c r="F229" s="59" t="s">
        <v>379</v>
      </c>
      <c r="G229" s="34">
        <v>2</v>
      </c>
      <c r="H229" s="60">
        <v>36207</v>
      </c>
      <c r="I229" s="45">
        <v>320200</v>
      </c>
      <c r="J229" s="130" t="s">
        <v>1180</v>
      </c>
      <c r="K229" s="64" t="s">
        <v>1181</v>
      </c>
      <c r="L229" s="34"/>
      <c r="M229" s="34"/>
    </row>
    <row r="230" s="30" customFormat="1" customHeight="1" spans="1:13">
      <c r="A230" s="34">
        <v>42</v>
      </c>
      <c r="B230" s="34">
        <v>1705202</v>
      </c>
      <c r="C230" s="34" t="s">
        <v>361</v>
      </c>
      <c r="D230" s="59">
        <v>170520212</v>
      </c>
      <c r="E230" s="34">
        <v>1</v>
      </c>
      <c r="F230" s="59" t="s">
        <v>380</v>
      </c>
      <c r="G230" s="34">
        <v>2</v>
      </c>
      <c r="H230" s="42">
        <v>36161</v>
      </c>
      <c r="I230" s="45">
        <v>320600</v>
      </c>
      <c r="J230" s="130" t="s">
        <v>1182</v>
      </c>
      <c r="K230" s="64" t="s">
        <v>1183</v>
      </c>
      <c r="L230" s="34"/>
      <c r="M230" s="34"/>
    </row>
    <row r="231" s="30" customFormat="1" customHeight="1" spans="1:13">
      <c r="A231" s="34">
        <v>42</v>
      </c>
      <c r="B231" s="34">
        <v>1705202</v>
      </c>
      <c r="C231" s="34" t="s">
        <v>361</v>
      </c>
      <c r="D231" s="59">
        <v>170520213</v>
      </c>
      <c r="E231" s="34">
        <v>1</v>
      </c>
      <c r="F231" s="59" t="s">
        <v>381</v>
      </c>
      <c r="G231" s="34">
        <v>2</v>
      </c>
      <c r="H231" s="42">
        <v>36202</v>
      </c>
      <c r="I231" s="124" t="s">
        <v>684</v>
      </c>
      <c r="J231" s="130" t="s">
        <v>1184</v>
      </c>
      <c r="K231" s="64" t="s">
        <v>1185</v>
      </c>
      <c r="L231" s="34"/>
      <c r="M231" s="34"/>
    </row>
    <row r="232" s="30" customFormat="1" customHeight="1" spans="1:13">
      <c r="A232" s="34">
        <v>42</v>
      </c>
      <c r="B232" s="34">
        <v>1705202</v>
      </c>
      <c r="C232" s="34" t="s">
        <v>361</v>
      </c>
      <c r="D232" s="59">
        <v>170520214</v>
      </c>
      <c r="E232" s="34">
        <v>1</v>
      </c>
      <c r="F232" s="59" t="s">
        <v>382</v>
      </c>
      <c r="G232" s="34">
        <v>2</v>
      </c>
      <c r="H232" s="42">
        <v>36587</v>
      </c>
      <c r="I232" s="45">
        <v>440100</v>
      </c>
      <c r="J232" s="130" t="s">
        <v>1186</v>
      </c>
      <c r="K232" s="64" t="s">
        <v>1187</v>
      </c>
      <c r="L232" s="34"/>
      <c r="M232" s="34"/>
    </row>
    <row r="233" s="30" customFormat="1" customHeight="1" spans="1:13">
      <c r="A233" s="34">
        <v>42</v>
      </c>
      <c r="B233" s="34">
        <v>1705202</v>
      </c>
      <c r="C233" s="34" t="s">
        <v>361</v>
      </c>
      <c r="D233" s="59">
        <v>170520215</v>
      </c>
      <c r="E233" s="34">
        <v>1</v>
      </c>
      <c r="F233" s="59" t="s">
        <v>383</v>
      </c>
      <c r="G233" s="34">
        <v>2</v>
      </c>
      <c r="H233" s="42">
        <v>36466</v>
      </c>
      <c r="I233" s="45">
        <v>320900</v>
      </c>
      <c r="J233" s="130" t="s">
        <v>1188</v>
      </c>
      <c r="K233" s="64" t="s">
        <v>1189</v>
      </c>
      <c r="L233" s="34"/>
      <c r="M233" s="34"/>
    </row>
    <row r="234" s="30" customFormat="1" customHeight="1" spans="1:13">
      <c r="A234" s="34">
        <v>42</v>
      </c>
      <c r="B234" s="34">
        <v>1705202</v>
      </c>
      <c r="C234" s="34" t="s">
        <v>361</v>
      </c>
      <c r="D234" s="59">
        <v>170520216</v>
      </c>
      <c r="E234" s="34">
        <v>1</v>
      </c>
      <c r="F234" s="59" t="s">
        <v>384</v>
      </c>
      <c r="G234" s="34">
        <v>2</v>
      </c>
      <c r="H234" s="42">
        <v>36473</v>
      </c>
      <c r="I234" s="45">
        <v>510100</v>
      </c>
      <c r="J234" s="130" t="s">
        <v>1190</v>
      </c>
      <c r="K234" s="64" t="s">
        <v>1191</v>
      </c>
      <c r="L234" s="34"/>
      <c r="M234" s="34"/>
    </row>
    <row r="235" s="30" customFormat="1" customHeight="1" spans="1:13">
      <c r="A235" s="34">
        <v>42</v>
      </c>
      <c r="B235" s="34">
        <v>1705202</v>
      </c>
      <c r="C235" s="34" t="s">
        <v>361</v>
      </c>
      <c r="D235" s="59">
        <v>170520217</v>
      </c>
      <c r="E235" s="34">
        <v>1</v>
      </c>
      <c r="F235" s="59" t="s">
        <v>385</v>
      </c>
      <c r="G235" s="34">
        <v>2</v>
      </c>
      <c r="H235" s="42">
        <v>36374</v>
      </c>
      <c r="I235" s="45">
        <v>321100</v>
      </c>
      <c r="J235" s="130" t="s">
        <v>1192</v>
      </c>
      <c r="K235" s="64" t="s">
        <v>1193</v>
      </c>
      <c r="L235" s="34"/>
      <c r="M235" s="34"/>
    </row>
    <row r="236" s="30" customFormat="1" customHeight="1" spans="1:13">
      <c r="A236" s="34">
        <v>42</v>
      </c>
      <c r="B236" s="34">
        <v>1705202</v>
      </c>
      <c r="C236" s="34" t="s">
        <v>361</v>
      </c>
      <c r="D236" s="59">
        <v>170520218</v>
      </c>
      <c r="E236" s="34">
        <v>1</v>
      </c>
      <c r="F236" s="61" t="s">
        <v>386</v>
      </c>
      <c r="G236" s="34">
        <v>2</v>
      </c>
      <c r="H236" s="42">
        <v>36196</v>
      </c>
      <c r="I236" s="45">
        <v>413000</v>
      </c>
      <c r="J236" s="130" t="s">
        <v>1194</v>
      </c>
      <c r="K236" s="64" t="s">
        <v>1195</v>
      </c>
      <c r="L236" s="34"/>
      <c r="M236" s="34"/>
    </row>
    <row r="237" s="30" customFormat="1" customHeight="1" spans="1:13">
      <c r="A237" s="34">
        <v>42</v>
      </c>
      <c r="B237" s="34">
        <v>1705202</v>
      </c>
      <c r="C237" s="34" t="s">
        <v>361</v>
      </c>
      <c r="D237" s="59">
        <v>170520221</v>
      </c>
      <c r="E237" s="34">
        <v>13</v>
      </c>
      <c r="F237" s="59" t="s">
        <v>387</v>
      </c>
      <c r="G237" s="34">
        <v>2</v>
      </c>
      <c r="H237" s="42">
        <v>36155</v>
      </c>
      <c r="I237" s="131" t="s">
        <v>1196</v>
      </c>
      <c r="J237" s="130" t="s">
        <v>1197</v>
      </c>
      <c r="K237" s="64" t="s">
        <v>1198</v>
      </c>
      <c r="L237" s="34"/>
      <c r="M237" s="34"/>
    </row>
    <row r="238" s="30" customFormat="1" customHeight="1" spans="1:13">
      <c r="A238" s="34">
        <v>42</v>
      </c>
      <c r="B238" s="34">
        <v>1705202</v>
      </c>
      <c r="C238" s="34" t="s">
        <v>361</v>
      </c>
      <c r="D238" s="59">
        <v>170520222</v>
      </c>
      <c r="E238" s="34">
        <v>1</v>
      </c>
      <c r="F238" s="59" t="s">
        <v>388</v>
      </c>
      <c r="G238" s="34">
        <v>2</v>
      </c>
      <c r="H238" s="42">
        <v>36202</v>
      </c>
      <c r="I238" s="124" t="s">
        <v>579</v>
      </c>
      <c r="J238" s="130" t="s">
        <v>1199</v>
      </c>
      <c r="K238" s="64" t="s">
        <v>1200</v>
      </c>
      <c r="L238" s="34"/>
      <c r="M238" s="34"/>
    </row>
    <row r="239" s="30" customFormat="1" customHeight="1" spans="1:13">
      <c r="A239" s="34">
        <v>42</v>
      </c>
      <c r="B239" s="34">
        <v>1705202</v>
      </c>
      <c r="C239" s="34" t="s">
        <v>361</v>
      </c>
      <c r="D239" s="59">
        <v>170520223</v>
      </c>
      <c r="E239" s="34">
        <v>1</v>
      </c>
      <c r="F239" s="59" t="s">
        <v>389</v>
      </c>
      <c r="G239" s="34">
        <v>2</v>
      </c>
      <c r="H239" s="42">
        <v>36195</v>
      </c>
      <c r="I239" s="45">
        <v>320100</v>
      </c>
      <c r="J239" s="130" t="s">
        <v>1201</v>
      </c>
      <c r="K239" s="64" t="s">
        <v>1202</v>
      </c>
      <c r="L239" s="34"/>
      <c r="M239" s="34"/>
    </row>
    <row r="240" s="30" customFormat="1" customHeight="1" spans="1:13">
      <c r="A240" s="34">
        <v>42</v>
      </c>
      <c r="B240" s="34">
        <v>1705202</v>
      </c>
      <c r="C240" s="34" t="s">
        <v>361</v>
      </c>
      <c r="D240" s="59">
        <v>170520225</v>
      </c>
      <c r="E240" s="34">
        <v>1</v>
      </c>
      <c r="F240" s="59" t="s">
        <v>390</v>
      </c>
      <c r="G240" s="34">
        <v>2</v>
      </c>
      <c r="H240" s="60">
        <v>36199</v>
      </c>
      <c r="I240" s="124" t="s">
        <v>539</v>
      </c>
      <c r="J240" s="130" t="s">
        <v>1203</v>
      </c>
      <c r="K240" s="64" t="s">
        <v>1204</v>
      </c>
      <c r="L240" s="34"/>
      <c r="M240" s="34"/>
    </row>
    <row r="241" s="30" customFormat="1" customHeight="1" spans="1:13">
      <c r="A241" s="34">
        <v>42</v>
      </c>
      <c r="B241" s="34">
        <v>1705202</v>
      </c>
      <c r="C241" s="34" t="s">
        <v>361</v>
      </c>
      <c r="D241" s="59">
        <v>170520226</v>
      </c>
      <c r="E241" s="34">
        <v>1</v>
      </c>
      <c r="F241" s="59" t="s">
        <v>391</v>
      </c>
      <c r="G241" s="34">
        <v>2</v>
      </c>
      <c r="H241" s="60">
        <v>36014</v>
      </c>
      <c r="I241" s="45">
        <v>441200</v>
      </c>
      <c r="J241" s="130" t="s">
        <v>1205</v>
      </c>
      <c r="K241" s="65" t="s">
        <v>1206</v>
      </c>
      <c r="L241" s="34"/>
      <c r="M241" s="34"/>
    </row>
    <row r="242" s="30" customFormat="1" customHeight="1" spans="1:13">
      <c r="A242" s="34">
        <v>42</v>
      </c>
      <c r="B242" s="34">
        <v>1705202</v>
      </c>
      <c r="C242" s="34" t="s">
        <v>361</v>
      </c>
      <c r="D242" s="59">
        <v>170520227</v>
      </c>
      <c r="E242" s="34">
        <v>1</v>
      </c>
      <c r="F242" s="59" t="s">
        <v>392</v>
      </c>
      <c r="G242" s="34">
        <v>2</v>
      </c>
      <c r="H242" s="60">
        <v>36204</v>
      </c>
      <c r="I242" s="131" t="s">
        <v>1207</v>
      </c>
      <c r="J242" s="64" t="s">
        <v>1208</v>
      </c>
      <c r="K242" s="65" t="s">
        <v>1209</v>
      </c>
      <c r="L242" s="34"/>
      <c r="M242" s="34"/>
    </row>
    <row r="243" s="30" customFormat="1" customHeight="1" spans="1:13">
      <c r="A243" s="34">
        <v>42</v>
      </c>
      <c r="B243" s="34">
        <v>1705202</v>
      </c>
      <c r="C243" s="34" t="s">
        <v>361</v>
      </c>
      <c r="D243" s="59">
        <v>170520228</v>
      </c>
      <c r="E243" s="34">
        <v>1</v>
      </c>
      <c r="F243" s="59" t="s">
        <v>393</v>
      </c>
      <c r="G243" s="34">
        <v>2</v>
      </c>
      <c r="H243" s="60">
        <v>36394</v>
      </c>
      <c r="I243" s="45">
        <v>320300</v>
      </c>
      <c r="J243" s="130" t="s">
        <v>1210</v>
      </c>
      <c r="K243" s="64" t="s">
        <v>1211</v>
      </c>
      <c r="L243" s="34"/>
      <c r="M243" s="34"/>
    </row>
    <row r="244" s="30" customFormat="1" customHeight="1" spans="1:13">
      <c r="A244" s="34">
        <v>42</v>
      </c>
      <c r="B244" s="34">
        <v>1705202</v>
      </c>
      <c r="C244" s="34" t="s">
        <v>361</v>
      </c>
      <c r="D244" s="59">
        <v>170520229</v>
      </c>
      <c r="E244" s="34">
        <v>1</v>
      </c>
      <c r="F244" s="59" t="s">
        <v>394</v>
      </c>
      <c r="G244" s="34">
        <v>2</v>
      </c>
      <c r="H244" s="60">
        <v>35794</v>
      </c>
      <c r="I244" s="45">
        <v>321300</v>
      </c>
      <c r="J244" s="130" t="s">
        <v>1212</v>
      </c>
      <c r="K244" s="64" t="s">
        <v>1213</v>
      </c>
      <c r="L244" s="34"/>
      <c r="M244" s="34"/>
    </row>
    <row r="245" s="30" customFormat="1" customHeight="1" spans="1:13">
      <c r="A245" s="34">
        <v>42</v>
      </c>
      <c r="B245" s="34">
        <v>1705202</v>
      </c>
      <c r="C245" s="34" t="s">
        <v>361</v>
      </c>
      <c r="D245" s="59">
        <v>170520230</v>
      </c>
      <c r="E245" s="34">
        <v>1</v>
      </c>
      <c r="F245" s="59" t="s">
        <v>395</v>
      </c>
      <c r="G245" s="34">
        <v>2</v>
      </c>
      <c r="H245" s="60">
        <v>35966</v>
      </c>
      <c r="I245" s="45">
        <v>320900</v>
      </c>
      <c r="J245" s="130" t="s">
        <v>1214</v>
      </c>
      <c r="K245" s="64" t="s">
        <v>1215</v>
      </c>
      <c r="L245" s="34"/>
      <c r="M245" s="34"/>
    </row>
    <row r="246" s="30" customFormat="1" customHeight="1" spans="1:13">
      <c r="A246" s="34">
        <v>42</v>
      </c>
      <c r="B246" s="34">
        <v>1705202</v>
      </c>
      <c r="C246" s="34" t="s">
        <v>361</v>
      </c>
      <c r="D246" s="59">
        <v>170520231</v>
      </c>
      <c r="E246" s="34">
        <v>1</v>
      </c>
      <c r="F246" s="59" t="s">
        <v>396</v>
      </c>
      <c r="G246" s="34">
        <v>2</v>
      </c>
      <c r="H246" s="60">
        <v>35999</v>
      </c>
      <c r="I246" s="45">
        <v>510100</v>
      </c>
      <c r="J246" s="130" t="s">
        <v>1216</v>
      </c>
      <c r="K246" s="64" t="s">
        <v>1217</v>
      </c>
      <c r="L246" s="34"/>
      <c r="M246" s="34"/>
    </row>
    <row r="247" s="30" customFormat="1" customHeight="1" spans="1:13">
      <c r="A247" s="34">
        <v>42</v>
      </c>
      <c r="B247" s="34">
        <v>1705202</v>
      </c>
      <c r="C247" s="34" t="s">
        <v>361</v>
      </c>
      <c r="D247" s="59">
        <v>170520232</v>
      </c>
      <c r="E247" s="34">
        <v>1</v>
      </c>
      <c r="F247" s="59" t="s">
        <v>397</v>
      </c>
      <c r="G247" s="34">
        <v>2</v>
      </c>
      <c r="H247" s="60">
        <v>36125</v>
      </c>
      <c r="I247" s="45">
        <v>320500</v>
      </c>
      <c r="J247" s="130" t="s">
        <v>1218</v>
      </c>
      <c r="K247" s="64" t="s">
        <v>1219</v>
      </c>
      <c r="L247" s="34"/>
      <c r="M247" s="34"/>
    </row>
    <row r="248" s="30" customFormat="1" customHeight="1" spans="1:13">
      <c r="A248" s="34">
        <v>42</v>
      </c>
      <c r="B248" s="34">
        <v>1705202</v>
      </c>
      <c r="C248" s="34" t="s">
        <v>361</v>
      </c>
      <c r="D248" s="59">
        <v>170520233</v>
      </c>
      <c r="E248" s="34">
        <v>1</v>
      </c>
      <c r="F248" s="59" t="s">
        <v>398</v>
      </c>
      <c r="G248" s="34">
        <v>2</v>
      </c>
      <c r="H248" s="60">
        <v>36235</v>
      </c>
      <c r="I248" s="45">
        <v>320400</v>
      </c>
      <c r="J248" s="130" t="s">
        <v>1220</v>
      </c>
      <c r="K248" s="64" t="s">
        <v>1221</v>
      </c>
      <c r="L248" s="34"/>
      <c r="M248" s="34"/>
    </row>
    <row r="249" s="30" customFormat="1" customHeight="1" spans="1:13">
      <c r="A249" s="34">
        <v>42</v>
      </c>
      <c r="B249" s="34">
        <v>1705202</v>
      </c>
      <c r="C249" s="34" t="s">
        <v>361</v>
      </c>
      <c r="D249" s="59">
        <v>170520234</v>
      </c>
      <c r="E249" s="34">
        <v>1</v>
      </c>
      <c r="F249" s="59" t="s">
        <v>399</v>
      </c>
      <c r="G249" s="34">
        <v>2</v>
      </c>
      <c r="H249" s="60">
        <v>36354</v>
      </c>
      <c r="I249" s="45">
        <v>440500</v>
      </c>
      <c r="J249" s="130" t="s">
        <v>1222</v>
      </c>
      <c r="K249" s="64" t="s">
        <v>1223</v>
      </c>
      <c r="L249" s="34"/>
      <c r="M249" s="34"/>
    </row>
    <row r="250" s="30" customFormat="1" customHeight="1" spans="1:13">
      <c r="A250" s="34">
        <v>42</v>
      </c>
      <c r="B250" s="34">
        <v>1705202</v>
      </c>
      <c r="C250" s="34" t="s">
        <v>361</v>
      </c>
      <c r="D250" s="59">
        <v>170520235</v>
      </c>
      <c r="E250" s="34">
        <v>1</v>
      </c>
      <c r="F250" s="59" t="s">
        <v>400</v>
      </c>
      <c r="G250" s="34">
        <v>2</v>
      </c>
      <c r="H250" s="60">
        <v>36492</v>
      </c>
      <c r="I250" s="45">
        <v>320400</v>
      </c>
      <c r="J250" s="130" t="s">
        <v>1224</v>
      </c>
      <c r="K250" s="64" t="s">
        <v>1225</v>
      </c>
      <c r="L250" s="34"/>
      <c r="M250" s="34"/>
    </row>
    <row r="251" s="30" customFormat="1" customHeight="1" spans="1:13">
      <c r="A251" s="34">
        <v>42</v>
      </c>
      <c r="B251" s="34">
        <v>1705202</v>
      </c>
      <c r="C251" s="34" t="s">
        <v>361</v>
      </c>
      <c r="D251" s="59">
        <v>170520236</v>
      </c>
      <c r="E251" s="34">
        <v>1</v>
      </c>
      <c r="F251" s="59" t="s">
        <v>401</v>
      </c>
      <c r="G251" s="34">
        <v>2</v>
      </c>
      <c r="H251" s="60">
        <v>36248</v>
      </c>
      <c r="I251" s="45">
        <v>321100</v>
      </c>
      <c r="J251" s="130" t="s">
        <v>1226</v>
      </c>
      <c r="K251" s="64" t="s">
        <v>1227</v>
      </c>
      <c r="L251" s="34"/>
      <c r="M251" s="34"/>
    </row>
    <row r="252" s="30" customFormat="1" customHeight="1" spans="1:13">
      <c r="A252" s="34">
        <v>42</v>
      </c>
      <c r="B252" s="34">
        <v>1705202</v>
      </c>
      <c r="C252" s="34" t="s">
        <v>361</v>
      </c>
      <c r="D252" s="59">
        <v>170520237</v>
      </c>
      <c r="E252" s="34">
        <v>1</v>
      </c>
      <c r="F252" s="61" t="s">
        <v>402</v>
      </c>
      <c r="G252" s="34">
        <v>2</v>
      </c>
      <c r="H252" s="60">
        <v>36161</v>
      </c>
      <c r="I252" s="45">
        <v>520200</v>
      </c>
      <c r="J252" s="64" t="s">
        <v>1228</v>
      </c>
      <c r="K252" s="64" t="s">
        <v>1229</v>
      </c>
      <c r="L252" s="34"/>
      <c r="M252" s="34"/>
    </row>
    <row r="253" s="30" customFormat="1" customHeight="1" spans="1:13">
      <c r="A253" s="34">
        <v>42</v>
      </c>
      <c r="B253" s="34">
        <v>1705202</v>
      </c>
      <c r="C253" s="34" t="s">
        <v>361</v>
      </c>
      <c r="D253" s="59">
        <v>170520238</v>
      </c>
      <c r="E253" s="34">
        <v>1</v>
      </c>
      <c r="F253" s="59" t="s">
        <v>403</v>
      </c>
      <c r="G253" s="34">
        <v>2</v>
      </c>
      <c r="H253" s="60">
        <v>36313</v>
      </c>
      <c r="I253" s="124" t="s">
        <v>812</v>
      </c>
      <c r="J253" s="130" t="s">
        <v>1230</v>
      </c>
      <c r="K253" s="64" t="s">
        <v>1231</v>
      </c>
      <c r="L253" s="34"/>
      <c r="M253" s="34"/>
    </row>
    <row r="254" s="30" customFormat="1" customHeight="1" spans="1:13">
      <c r="A254" s="34">
        <v>42</v>
      </c>
      <c r="B254" s="34">
        <v>1705202</v>
      </c>
      <c r="C254" s="34" t="s">
        <v>361</v>
      </c>
      <c r="D254" s="59">
        <v>170520239</v>
      </c>
      <c r="E254" s="34">
        <v>1</v>
      </c>
      <c r="F254" s="59" t="s">
        <v>404</v>
      </c>
      <c r="G254" s="34">
        <v>2</v>
      </c>
      <c r="H254" s="60">
        <v>35748</v>
      </c>
      <c r="I254" s="45">
        <v>450400</v>
      </c>
      <c r="J254" s="130" t="s">
        <v>1232</v>
      </c>
      <c r="K254" s="34" t="s">
        <v>1233</v>
      </c>
      <c r="L254" s="34"/>
      <c r="M254" s="34"/>
    </row>
    <row r="255" s="30" customFormat="1" customHeight="1" spans="1:13">
      <c r="A255" s="34">
        <v>42</v>
      </c>
      <c r="B255" s="34">
        <v>1705202</v>
      </c>
      <c r="C255" s="34" t="s">
        <v>361</v>
      </c>
      <c r="D255" s="59">
        <v>170520240</v>
      </c>
      <c r="E255" s="34">
        <v>1</v>
      </c>
      <c r="F255" s="59" t="s">
        <v>405</v>
      </c>
      <c r="G255" s="34">
        <v>2</v>
      </c>
      <c r="H255" s="60">
        <v>36166</v>
      </c>
      <c r="I255" s="45">
        <v>310100</v>
      </c>
      <c r="J255" s="64" t="s">
        <v>1234</v>
      </c>
      <c r="K255" s="64" t="s">
        <v>1235</v>
      </c>
      <c r="L255" s="34"/>
      <c r="M255" s="34"/>
    </row>
    <row r="256" s="30" customFormat="1" customHeight="1" spans="1:13">
      <c r="A256" s="34">
        <v>42</v>
      </c>
      <c r="B256" s="34">
        <v>1705202</v>
      </c>
      <c r="C256" s="34" t="s">
        <v>361</v>
      </c>
      <c r="D256" s="59">
        <v>170520241</v>
      </c>
      <c r="E256" s="34">
        <v>1</v>
      </c>
      <c r="F256" s="59" t="s">
        <v>1236</v>
      </c>
      <c r="G256" s="34">
        <v>2</v>
      </c>
      <c r="H256" s="60">
        <v>36123</v>
      </c>
      <c r="I256" s="45">
        <v>320600</v>
      </c>
      <c r="J256" s="130" t="s">
        <v>1237</v>
      </c>
      <c r="K256" s="64" t="s">
        <v>1238</v>
      </c>
      <c r="L256" s="34"/>
      <c r="M256" s="34"/>
    </row>
    <row r="257" s="30" customFormat="1" customHeight="1" spans="1:13">
      <c r="A257" s="34">
        <v>42</v>
      </c>
      <c r="B257" s="34">
        <v>1705202</v>
      </c>
      <c r="C257" s="34" t="s">
        <v>361</v>
      </c>
      <c r="D257" s="59">
        <v>170520244</v>
      </c>
      <c r="E257" s="34">
        <v>1</v>
      </c>
      <c r="F257" s="59" t="s">
        <v>407</v>
      </c>
      <c r="G257" s="34">
        <v>2</v>
      </c>
      <c r="H257" s="60">
        <v>36145</v>
      </c>
      <c r="I257" s="124" t="s">
        <v>570</v>
      </c>
      <c r="J257" s="130" t="s">
        <v>1239</v>
      </c>
      <c r="K257" s="64" t="s">
        <v>1240</v>
      </c>
      <c r="L257" s="34"/>
      <c r="M257" s="34"/>
    </row>
    <row r="258" s="30" customFormat="1" customHeight="1" spans="1:13">
      <c r="A258" s="34">
        <v>42</v>
      </c>
      <c r="B258" s="34">
        <v>1705202</v>
      </c>
      <c r="C258" s="34" t="s">
        <v>361</v>
      </c>
      <c r="D258" s="59">
        <v>170520246</v>
      </c>
      <c r="E258" s="34">
        <v>1</v>
      </c>
      <c r="F258" s="59" t="s">
        <v>408</v>
      </c>
      <c r="G258" s="34">
        <v>2</v>
      </c>
      <c r="H258" s="60">
        <v>35804</v>
      </c>
      <c r="I258" s="45">
        <v>320800</v>
      </c>
      <c r="J258" s="130" t="s">
        <v>1241</v>
      </c>
      <c r="K258" s="64" t="s">
        <v>1242</v>
      </c>
      <c r="L258" s="34"/>
      <c r="M258" s="34"/>
    </row>
    <row r="259" s="30" customFormat="1" customHeight="1" spans="1:13">
      <c r="A259" s="34">
        <v>42</v>
      </c>
      <c r="B259" s="34">
        <v>1705202</v>
      </c>
      <c r="C259" s="34" t="s">
        <v>361</v>
      </c>
      <c r="D259" s="59">
        <v>170520247</v>
      </c>
      <c r="E259" s="34">
        <v>1</v>
      </c>
      <c r="F259" s="59" t="s">
        <v>409</v>
      </c>
      <c r="G259" s="34">
        <v>2</v>
      </c>
      <c r="H259" s="60">
        <v>36282</v>
      </c>
      <c r="I259" s="45">
        <v>440200</v>
      </c>
      <c r="J259" s="130" t="s">
        <v>1243</v>
      </c>
      <c r="K259" s="65" t="s">
        <v>1244</v>
      </c>
      <c r="L259" s="34"/>
      <c r="M259" s="34"/>
    </row>
    <row r="260" s="30" customFormat="1" customHeight="1" spans="1:13">
      <c r="A260" s="34">
        <v>42</v>
      </c>
      <c r="B260" s="34">
        <v>1705202</v>
      </c>
      <c r="C260" s="34" t="s">
        <v>361</v>
      </c>
      <c r="D260" s="59">
        <v>170520248</v>
      </c>
      <c r="E260" s="34">
        <v>1</v>
      </c>
      <c r="F260" s="59" t="s">
        <v>410</v>
      </c>
      <c r="G260" s="34">
        <v>2</v>
      </c>
      <c r="H260" s="60">
        <v>36529</v>
      </c>
      <c r="I260" s="45">
        <v>513400</v>
      </c>
      <c r="J260" s="130" t="s">
        <v>1245</v>
      </c>
      <c r="K260" s="64" t="s">
        <v>1246</v>
      </c>
      <c r="L260" s="34"/>
      <c r="M260" s="34"/>
    </row>
    <row r="261" s="30" customFormat="1" customHeight="1" spans="1:13">
      <c r="A261" s="34">
        <v>42</v>
      </c>
      <c r="B261" s="34">
        <v>1705202</v>
      </c>
      <c r="C261" s="34" t="s">
        <v>361</v>
      </c>
      <c r="D261" s="59">
        <v>170520249</v>
      </c>
      <c r="E261" s="34">
        <v>1</v>
      </c>
      <c r="F261" s="59" t="s">
        <v>412</v>
      </c>
      <c r="G261" s="34">
        <v>2</v>
      </c>
      <c r="H261" s="60">
        <v>35762</v>
      </c>
      <c r="I261" s="45">
        <v>510100</v>
      </c>
      <c r="J261" s="64" t="s">
        <v>1247</v>
      </c>
      <c r="K261" s="64" t="s">
        <v>1248</v>
      </c>
      <c r="L261" s="34"/>
      <c r="M261" s="34"/>
    </row>
    <row r="262" s="30" customFormat="1" customHeight="1" spans="1:13">
      <c r="A262" s="34">
        <v>42</v>
      </c>
      <c r="B262" s="34">
        <v>1705202</v>
      </c>
      <c r="C262" s="34" t="s">
        <v>361</v>
      </c>
      <c r="D262" s="59">
        <v>170520250</v>
      </c>
      <c r="E262" s="34">
        <v>1</v>
      </c>
      <c r="F262" s="59" t="s">
        <v>413</v>
      </c>
      <c r="G262" s="34">
        <v>2</v>
      </c>
      <c r="H262" s="60">
        <v>36046</v>
      </c>
      <c r="I262" s="45">
        <v>321300</v>
      </c>
      <c r="J262" s="130" t="s">
        <v>1249</v>
      </c>
      <c r="K262" s="64" t="s">
        <v>1250</v>
      </c>
      <c r="L262" s="34"/>
      <c r="M262" s="34"/>
    </row>
    <row r="263" s="30" customFormat="1" customHeight="1" spans="1:13">
      <c r="A263" s="34">
        <v>42</v>
      </c>
      <c r="B263" s="34">
        <v>1705202</v>
      </c>
      <c r="C263" s="34" t="s">
        <v>361</v>
      </c>
      <c r="D263" s="59">
        <v>170520251</v>
      </c>
      <c r="E263" s="34">
        <v>1</v>
      </c>
      <c r="F263" s="59" t="s">
        <v>414</v>
      </c>
      <c r="G263" s="34">
        <v>1</v>
      </c>
      <c r="H263" s="60">
        <v>36196</v>
      </c>
      <c r="I263" s="45">
        <v>220400</v>
      </c>
      <c r="J263" s="130" t="s">
        <v>1251</v>
      </c>
      <c r="K263" s="64" t="s">
        <v>1252</v>
      </c>
      <c r="L263" s="34"/>
      <c r="M263" s="34"/>
    </row>
    <row r="264" s="30" customFormat="1" customHeight="1" spans="1:13">
      <c r="A264" s="34">
        <v>42</v>
      </c>
      <c r="B264" s="34">
        <v>1705202</v>
      </c>
      <c r="C264" s="34" t="s">
        <v>361</v>
      </c>
      <c r="D264" s="59">
        <v>170520254</v>
      </c>
      <c r="E264" s="34">
        <v>1</v>
      </c>
      <c r="F264" s="59" t="s">
        <v>416</v>
      </c>
      <c r="G264" s="34">
        <v>1</v>
      </c>
      <c r="H264" s="60">
        <v>36184</v>
      </c>
      <c r="I264" s="45">
        <v>320900</v>
      </c>
      <c r="J264" s="130" t="s">
        <v>1253</v>
      </c>
      <c r="K264" s="64" t="s">
        <v>1254</v>
      </c>
      <c r="L264" s="34"/>
      <c r="M264" s="34"/>
    </row>
    <row r="265" s="30" customFormat="1" customHeight="1" spans="1:13">
      <c r="A265" s="34">
        <v>42</v>
      </c>
      <c r="B265" s="34">
        <v>1705202</v>
      </c>
      <c r="C265" s="34" t="s">
        <v>361</v>
      </c>
      <c r="D265" s="59">
        <v>170520255</v>
      </c>
      <c r="E265" s="34">
        <v>1</v>
      </c>
      <c r="F265" s="59" t="s">
        <v>1255</v>
      </c>
      <c r="G265" s="34">
        <v>1</v>
      </c>
      <c r="H265" s="60">
        <v>36286</v>
      </c>
      <c r="I265" s="45">
        <v>330300</v>
      </c>
      <c r="J265" s="130" t="s">
        <v>1256</v>
      </c>
      <c r="K265" s="64" t="s">
        <v>1257</v>
      </c>
      <c r="L265" s="34"/>
      <c r="M265" s="34"/>
    </row>
    <row r="266" s="30" customFormat="1" customHeight="1" spans="1:13">
      <c r="A266" s="34">
        <v>42</v>
      </c>
      <c r="B266" s="34">
        <v>1705202</v>
      </c>
      <c r="C266" s="34" t="s">
        <v>361</v>
      </c>
      <c r="D266" s="59">
        <v>170520256</v>
      </c>
      <c r="E266" s="34">
        <v>1</v>
      </c>
      <c r="F266" s="59" t="s">
        <v>418</v>
      </c>
      <c r="G266" s="34">
        <v>1</v>
      </c>
      <c r="H266" s="60">
        <v>36095</v>
      </c>
      <c r="I266" s="45">
        <v>321200</v>
      </c>
      <c r="J266" s="130" t="s">
        <v>1258</v>
      </c>
      <c r="K266" s="64" t="s">
        <v>1259</v>
      </c>
      <c r="L266" s="34"/>
      <c r="M266" s="34"/>
    </row>
    <row r="267" s="30" customFormat="1" customHeight="1" spans="1:13">
      <c r="A267" s="34">
        <v>42</v>
      </c>
      <c r="B267" s="34">
        <v>1705202</v>
      </c>
      <c r="C267" s="34" t="s">
        <v>361</v>
      </c>
      <c r="D267" s="59">
        <v>170520257</v>
      </c>
      <c r="E267" s="34">
        <v>1</v>
      </c>
      <c r="F267" s="59" t="s">
        <v>420</v>
      </c>
      <c r="G267" s="34">
        <v>1</v>
      </c>
      <c r="H267" s="60">
        <v>36309</v>
      </c>
      <c r="I267" s="45">
        <v>330700</v>
      </c>
      <c r="J267" s="130" t="s">
        <v>1260</v>
      </c>
      <c r="K267" s="64" t="s">
        <v>1261</v>
      </c>
      <c r="L267" s="34"/>
      <c r="M267" s="34"/>
    </row>
    <row r="268" s="30" customFormat="1" customHeight="1" spans="1:13">
      <c r="A268" s="34">
        <v>42</v>
      </c>
      <c r="B268" s="34">
        <v>1705202</v>
      </c>
      <c r="C268" s="34" t="s">
        <v>361</v>
      </c>
      <c r="D268" s="59">
        <v>170520258</v>
      </c>
      <c r="E268" s="34">
        <v>1</v>
      </c>
      <c r="F268" s="59" t="s">
        <v>421</v>
      </c>
      <c r="G268" s="34">
        <v>1</v>
      </c>
      <c r="H268" s="60">
        <v>36205</v>
      </c>
      <c r="I268" s="45">
        <v>140700</v>
      </c>
      <c r="J268" s="130" t="s">
        <v>1262</v>
      </c>
      <c r="K268" s="64" t="s">
        <v>1263</v>
      </c>
      <c r="L268" s="34"/>
      <c r="M268" s="34"/>
    </row>
    <row r="269" s="30" customFormat="1" customHeight="1" spans="1:13">
      <c r="A269" s="34">
        <v>42</v>
      </c>
      <c r="B269" s="34">
        <v>1705202</v>
      </c>
      <c r="C269" s="34" t="s">
        <v>361</v>
      </c>
      <c r="D269" s="59">
        <v>170520259</v>
      </c>
      <c r="E269" s="34">
        <v>1</v>
      </c>
      <c r="F269" s="59" t="s">
        <v>422</v>
      </c>
      <c r="G269" s="34">
        <v>1</v>
      </c>
      <c r="H269" s="60">
        <v>36260</v>
      </c>
      <c r="I269" s="45">
        <v>331000</v>
      </c>
      <c r="J269" s="130" t="s">
        <v>1264</v>
      </c>
      <c r="K269" s="64" t="s">
        <v>1265</v>
      </c>
      <c r="L269" s="34"/>
      <c r="M269" s="34"/>
    </row>
    <row r="270" s="30" customFormat="1" customHeight="1" spans="1:13">
      <c r="A270" s="34">
        <v>42</v>
      </c>
      <c r="B270" s="34">
        <v>1705202</v>
      </c>
      <c r="C270" s="34" t="s">
        <v>361</v>
      </c>
      <c r="D270" s="59">
        <v>170520260</v>
      </c>
      <c r="E270" s="34">
        <v>1</v>
      </c>
      <c r="F270" s="59" t="s">
        <v>423</v>
      </c>
      <c r="G270" s="34">
        <v>1</v>
      </c>
      <c r="H270" s="60">
        <v>35740</v>
      </c>
      <c r="I270" s="45">
        <v>321200</v>
      </c>
      <c r="J270" s="130" t="s">
        <v>1266</v>
      </c>
      <c r="K270" s="64" t="s">
        <v>1267</v>
      </c>
      <c r="L270" s="34"/>
      <c r="M270" s="34"/>
    </row>
    <row r="271" s="30" customFormat="1" customHeight="1" spans="1:13">
      <c r="A271" s="34">
        <v>42</v>
      </c>
      <c r="B271" s="34">
        <v>1705202</v>
      </c>
      <c r="C271" s="34" t="s">
        <v>361</v>
      </c>
      <c r="D271" s="59">
        <v>170520261</v>
      </c>
      <c r="E271" s="34">
        <v>1</v>
      </c>
      <c r="F271" s="61" t="s">
        <v>424</v>
      </c>
      <c r="G271" s="34">
        <v>1</v>
      </c>
      <c r="H271" s="60">
        <v>35920</v>
      </c>
      <c r="I271" s="45">
        <v>610100</v>
      </c>
      <c r="J271" s="130" t="s">
        <v>1268</v>
      </c>
      <c r="K271" s="64" t="s">
        <v>1269</v>
      </c>
      <c r="L271" s="34"/>
      <c r="M271" s="34"/>
    </row>
    <row r="272" s="30" customFormat="1" customHeight="1" spans="1:13">
      <c r="A272" s="34">
        <v>42</v>
      </c>
      <c r="B272" s="34">
        <v>1705202</v>
      </c>
      <c r="C272" s="34" t="s">
        <v>361</v>
      </c>
      <c r="D272" s="59">
        <v>170520262</v>
      </c>
      <c r="E272" s="34">
        <v>1</v>
      </c>
      <c r="F272" s="59" t="s">
        <v>426</v>
      </c>
      <c r="G272" s="34">
        <v>1</v>
      </c>
      <c r="H272" s="60">
        <v>36257</v>
      </c>
      <c r="I272" s="45">
        <v>320200</v>
      </c>
      <c r="J272" s="130" t="s">
        <v>1270</v>
      </c>
      <c r="K272" s="64" t="s">
        <v>1271</v>
      </c>
      <c r="L272" s="34"/>
      <c r="M272" s="34"/>
    </row>
    <row r="273" s="30" customFormat="1" customHeight="1" spans="1:13">
      <c r="A273" s="34">
        <v>42</v>
      </c>
      <c r="B273" s="34">
        <v>1705202</v>
      </c>
      <c r="C273" s="34" t="s">
        <v>361</v>
      </c>
      <c r="D273" s="59">
        <v>170520263</v>
      </c>
      <c r="E273" s="34">
        <v>15</v>
      </c>
      <c r="F273" s="59" t="s">
        <v>427</v>
      </c>
      <c r="G273" s="34">
        <v>1</v>
      </c>
      <c r="H273" s="60">
        <v>36216</v>
      </c>
      <c r="I273" s="45">
        <v>430800</v>
      </c>
      <c r="J273" s="130" t="s">
        <v>1272</v>
      </c>
      <c r="K273" s="64" t="s">
        <v>1273</v>
      </c>
      <c r="L273" s="34"/>
      <c r="M273" s="34"/>
    </row>
    <row r="274" s="30" customFormat="1" customHeight="1" spans="1:13">
      <c r="A274" s="34">
        <v>42</v>
      </c>
      <c r="B274" s="34">
        <v>1705202</v>
      </c>
      <c r="C274" s="34" t="s">
        <v>361</v>
      </c>
      <c r="D274" s="59">
        <v>170520264</v>
      </c>
      <c r="E274" s="34">
        <v>1</v>
      </c>
      <c r="F274" s="59" t="s">
        <v>369</v>
      </c>
      <c r="G274" s="34">
        <v>1</v>
      </c>
      <c r="H274" s="60">
        <v>36033</v>
      </c>
      <c r="I274" s="45">
        <v>330300</v>
      </c>
      <c r="J274" s="130" t="s">
        <v>1274</v>
      </c>
      <c r="K274" s="64" t="s">
        <v>1275</v>
      </c>
      <c r="L274" s="34"/>
      <c r="M274" s="34"/>
    </row>
    <row r="275" s="30" customFormat="1" customHeight="1" spans="1:13">
      <c r="A275" s="34">
        <v>42</v>
      </c>
      <c r="B275" s="34">
        <v>1705202</v>
      </c>
      <c r="C275" s="34" t="s">
        <v>361</v>
      </c>
      <c r="D275" s="59">
        <v>170520265</v>
      </c>
      <c r="E275" s="34">
        <v>1</v>
      </c>
      <c r="F275" s="59" t="s">
        <v>373</v>
      </c>
      <c r="G275" s="34">
        <v>1</v>
      </c>
      <c r="H275" s="60">
        <v>36128</v>
      </c>
      <c r="I275" s="45">
        <v>330300</v>
      </c>
      <c r="J275" s="130" t="s">
        <v>1276</v>
      </c>
      <c r="K275" s="64" t="s">
        <v>1277</v>
      </c>
      <c r="L275" s="34"/>
      <c r="M275" s="34"/>
    </row>
    <row r="276" s="30" customFormat="1" customHeight="1" spans="1:13">
      <c r="A276" s="34">
        <v>42</v>
      </c>
      <c r="B276" s="34">
        <v>1705202</v>
      </c>
      <c r="C276" s="34" t="s">
        <v>361</v>
      </c>
      <c r="D276" s="59">
        <v>170520266</v>
      </c>
      <c r="E276" s="34">
        <v>1</v>
      </c>
      <c r="F276" s="59" t="s">
        <v>1278</v>
      </c>
      <c r="G276" s="34">
        <v>2</v>
      </c>
      <c r="H276" s="60">
        <v>36379</v>
      </c>
      <c r="I276" s="45">
        <v>410100</v>
      </c>
      <c r="J276" s="130" t="s">
        <v>1279</v>
      </c>
      <c r="K276" s="64" t="s">
        <v>1280</v>
      </c>
      <c r="L276" s="34"/>
      <c r="M276" s="34"/>
    </row>
    <row r="277" s="30" customFormat="1" customHeight="1" spans="1:13">
      <c r="A277" s="34">
        <v>42</v>
      </c>
      <c r="B277" s="34">
        <v>1705202</v>
      </c>
      <c r="C277" s="34" t="s">
        <v>361</v>
      </c>
      <c r="D277" s="59">
        <v>170520267</v>
      </c>
      <c r="E277" s="34">
        <v>1</v>
      </c>
      <c r="F277" s="59" t="s">
        <v>371</v>
      </c>
      <c r="G277" s="34">
        <v>2</v>
      </c>
      <c r="H277" s="60">
        <v>36133</v>
      </c>
      <c r="I277" s="45">
        <v>441800</v>
      </c>
      <c r="J277" s="130" t="s">
        <v>1281</v>
      </c>
      <c r="K277" s="64" t="s">
        <v>1282</v>
      </c>
      <c r="L277" s="34"/>
      <c r="M277" s="34"/>
    </row>
    <row r="278" s="30" customFormat="1" customHeight="1" spans="1:13">
      <c r="A278" s="34">
        <v>42</v>
      </c>
      <c r="B278" s="34">
        <v>1705202</v>
      </c>
      <c r="C278" s="34" t="s">
        <v>361</v>
      </c>
      <c r="D278" s="59">
        <v>170528268</v>
      </c>
      <c r="E278" s="34">
        <v>1</v>
      </c>
      <c r="F278" s="59" t="s">
        <v>372</v>
      </c>
      <c r="G278" s="34">
        <v>1</v>
      </c>
      <c r="H278" s="60">
        <v>36113</v>
      </c>
      <c r="I278" s="45">
        <v>513100</v>
      </c>
      <c r="J278" s="130" t="s">
        <v>1283</v>
      </c>
      <c r="K278" s="64" t="s">
        <v>1284</v>
      </c>
      <c r="L278" s="34"/>
      <c r="M278" s="34"/>
    </row>
    <row r="279" customHeight="1" spans="1:13">
      <c r="A279" s="34">
        <v>42</v>
      </c>
      <c r="B279" s="34">
        <v>1702101</v>
      </c>
      <c r="C279" s="67" t="s">
        <v>428</v>
      </c>
      <c r="D279" s="68">
        <v>170210109</v>
      </c>
      <c r="E279" s="34">
        <v>1</v>
      </c>
      <c r="F279" s="69" t="s">
        <v>465</v>
      </c>
      <c r="G279" s="34">
        <v>2</v>
      </c>
      <c r="H279" s="70">
        <v>36272</v>
      </c>
      <c r="I279" s="132" t="s">
        <v>787</v>
      </c>
      <c r="J279" s="133" t="s">
        <v>1285</v>
      </c>
      <c r="K279" s="65" t="s">
        <v>1286</v>
      </c>
      <c r="L279" s="38"/>
      <c r="M279" s="38"/>
    </row>
    <row r="280" customHeight="1" spans="1:13">
      <c r="A280" s="34">
        <v>42</v>
      </c>
      <c r="B280" s="34">
        <v>1702101</v>
      </c>
      <c r="C280" s="67" t="s">
        <v>428</v>
      </c>
      <c r="D280" s="68">
        <v>170210109</v>
      </c>
      <c r="E280" s="34">
        <v>1</v>
      </c>
      <c r="F280" s="69" t="s">
        <v>466</v>
      </c>
      <c r="G280" s="34">
        <v>2</v>
      </c>
      <c r="H280" s="70">
        <v>36308</v>
      </c>
      <c r="I280" s="132" t="s">
        <v>949</v>
      </c>
      <c r="J280" s="134" t="s">
        <v>1287</v>
      </c>
      <c r="K280" s="64" t="s">
        <v>1288</v>
      </c>
      <c r="L280" s="38"/>
      <c r="M280" s="38"/>
    </row>
    <row r="281" customHeight="1" spans="1:13">
      <c r="A281" s="34">
        <v>42</v>
      </c>
      <c r="B281" s="34">
        <v>1702101</v>
      </c>
      <c r="C281" s="67" t="s">
        <v>428</v>
      </c>
      <c r="D281" s="68">
        <v>170210110</v>
      </c>
      <c r="E281" s="34">
        <v>1</v>
      </c>
      <c r="F281" s="69" t="s">
        <v>467</v>
      </c>
      <c r="G281" s="34">
        <v>2</v>
      </c>
      <c r="H281" s="70">
        <v>36339</v>
      </c>
      <c r="I281" s="132" t="s">
        <v>1289</v>
      </c>
      <c r="J281" s="135" t="s">
        <v>1290</v>
      </c>
      <c r="K281" s="64" t="s">
        <v>1291</v>
      </c>
      <c r="L281" s="38"/>
      <c r="M281" s="38"/>
    </row>
    <row r="282" customHeight="1" spans="1:13">
      <c r="A282" s="34">
        <v>42</v>
      </c>
      <c r="B282" s="34">
        <v>1702101</v>
      </c>
      <c r="C282" s="67" t="s">
        <v>428</v>
      </c>
      <c r="D282" s="71">
        <v>170210115</v>
      </c>
      <c r="E282" s="34">
        <v>1</v>
      </c>
      <c r="F282" s="69" t="s">
        <v>468</v>
      </c>
      <c r="G282" s="34">
        <v>2</v>
      </c>
      <c r="H282" s="70">
        <v>36090</v>
      </c>
      <c r="I282" s="132" t="s">
        <v>1207</v>
      </c>
      <c r="J282" s="135" t="s">
        <v>1292</v>
      </c>
      <c r="K282" s="64" t="s">
        <v>1293</v>
      </c>
      <c r="L282" s="38"/>
      <c r="M282" s="38"/>
    </row>
    <row r="283" customHeight="1" spans="1:13">
      <c r="A283" s="34">
        <v>42</v>
      </c>
      <c r="B283" s="34">
        <v>1702101</v>
      </c>
      <c r="C283" s="67" t="s">
        <v>428</v>
      </c>
      <c r="D283" s="68">
        <v>170210129</v>
      </c>
      <c r="E283" s="34">
        <v>1</v>
      </c>
      <c r="F283" s="69" t="s">
        <v>469</v>
      </c>
      <c r="G283" s="34">
        <v>1</v>
      </c>
      <c r="H283" s="70">
        <v>36551</v>
      </c>
      <c r="I283" s="132" t="s">
        <v>542</v>
      </c>
      <c r="J283" s="76" t="s">
        <v>1294</v>
      </c>
      <c r="K283" s="64" t="s">
        <v>1295</v>
      </c>
      <c r="L283" s="38"/>
      <c r="M283" s="38"/>
    </row>
    <row r="284" customHeight="1" spans="1:13">
      <c r="A284" s="34">
        <v>42</v>
      </c>
      <c r="B284" s="34">
        <v>1702101</v>
      </c>
      <c r="C284" s="67" t="s">
        <v>428</v>
      </c>
      <c r="D284" s="68">
        <v>170210132</v>
      </c>
      <c r="E284" s="34">
        <v>1</v>
      </c>
      <c r="F284" s="69" t="s">
        <v>472</v>
      </c>
      <c r="G284" s="34">
        <v>1</v>
      </c>
      <c r="H284" s="70">
        <v>36430</v>
      </c>
      <c r="I284" s="132" t="s">
        <v>554</v>
      </c>
      <c r="J284" s="77" t="s">
        <v>1296</v>
      </c>
      <c r="K284" s="64" t="s">
        <v>1297</v>
      </c>
      <c r="L284" s="38"/>
      <c r="M284" s="38"/>
    </row>
    <row r="285" customHeight="1" spans="1:13">
      <c r="A285" s="34">
        <v>42</v>
      </c>
      <c r="B285" s="34">
        <v>1702101</v>
      </c>
      <c r="C285" s="67" t="s">
        <v>428</v>
      </c>
      <c r="D285" s="68">
        <v>170210135</v>
      </c>
      <c r="E285" s="34">
        <v>1</v>
      </c>
      <c r="F285" s="69" t="s">
        <v>473</v>
      </c>
      <c r="G285" s="34">
        <v>1</v>
      </c>
      <c r="H285" s="70">
        <v>36140</v>
      </c>
      <c r="I285" s="132" t="s">
        <v>539</v>
      </c>
      <c r="J285" s="136" t="s">
        <v>1298</v>
      </c>
      <c r="K285" s="65" t="s">
        <v>1299</v>
      </c>
      <c r="L285" s="38"/>
      <c r="M285" s="38"/>
    </row>
    <row r="286" customHeight="1" spans="1:13">
      <c r="A286" s="34">
        <v>42</v>
      </c>
      <c r="B286" s="34">
        <v>1702101</v>
      </c>
      <c r="C286" s="67" t="s">
        <v>428</v>
      </c>
      <c r="D286" s="68">
        <v>170210137</v>
      </c>
      <c r="E286" s="34">
        <v>1</v>
      </c>
      <c r="F286" s="69" t="s">
        <v>474</v>
      </c>
      <c r="G286" s="34">
        <v>1</v>
      </c>
      <c r="H286" s="70">
        <v>35862</v>
      </c>
      <c r="I286" s="132" t="s">
        <v>1300</v>
      </c>
      <c r="J286" s="135" t="s">
        <v>1301</v>
      </c>
      <c r="K286" s="64" t="s">
        <v>1302</v>
      </c>
      <c r="L286" s="38"/>
      <c r="M286" s="38"/>
    </row>
    <row r="287" customHeight="1" spans="1:13">
      <c r="A287" s="34">
        <v>42</v>
      </c>
      <c r="B287" s="34">
        <v>1702101</v>
      </c>
      <c r="C287" s="67" t="s">
        <v>428</v>
      </c>
      <c r="D287" s="67">
        <v>170210138</v>
      </c>
      <c r="E287" s="34">
        <v>8</v>
      </c>
      <c r="F287" s="69" t="s">
        <v>476</v>
      </c>
      <c r="G287" s="34">
        <v>1</v>
      </c>
      <c r="H287" s="70">
        <v>36517</v>
      </c>
      <c r="I287" s="132" t="s">
        <v>1196</v>
      </c>
      <c r="J287" s="137" t="s">
        <v>1303</v>
      </c>
      <c r="K287" s="34" t="s">
        <v>1304</v>
      </c>
      <c r="L287" s="38"/>
      <c r="M287" s="38"/>
    </row>
    <row r="288" customHeight="1" spans="1:13">
      <c r="A288" s="34">
        <v>42</v>
      </c>
      <c r="B288" s="34">
        <v>1702101</v>
      </c>
      <c r="C288" s="67" t="s">
        <v>428</v>
      </c>
      <c r="D288" s="68">
        <v>170210139</v>
      </c>
      <c r="E288" s="34">
        <v>1</v>
      </c>
      <c r="F288" s="69" t="s">
        <v>478</v>
      </c>
      <c r="G288" s="34">
        <v>1</v>
      </c>
      <c r="H288" s="70">
        <v>36266</v>
      </c>
      <c r="I288" s="132" t="s">
        <v>579</v>
      </c>
      <c r="J288" s="136" t="s">
        <v>1305</v>
      </c>
      <c r="K288" s="64" t="s">
        <v>1306</v>
      </c>
      <c r="L288" s="38"/>
      <c r="M288" s="38"/>
    </row>
    <row r="289" customHeight="1" spans="1:13">
      <c r="A289" s="34">
        <v>42</v>
      </c>
      <c r="B289" s="34">
        <v>1702101</v>
      </c>
      <c r="C289" s="67" t="s">
        <v>428</v>
      </c>
      <c r="D289" s="68">
        <v>170210142</v>
      </c>
      <c r="E289" s="34">
        <v>1</v>
      </c>
      <c r="F289" s="69" t="s">
        <v>479</v>
      </c>
      <c r="G289" s="34">
        <v>1</v>
      </c>
      <c r="H289" s="70">
        <v>36165</v>
      </c>
      <c r="I289" s="132" t="s">
        <v>812</v>
      </c>
      <c r="J289" s="136" t="s">
        <v>1307</v>
      </c>
      <c r="K289" s="64" t="s">
        <v>1308</v>
      </c>
      <c r="L289" s="38"/>
      <c r="M289" s="38"/>
    </row>
    <row r="290" customHeight="1" spans="1:13">
      <c r="A290" s="34">
        <v>42</v>
      </c>
      <c r="B290" s="34">
        <v>1702101</v>
      </c>
      <c r="C290" s="67" t="s">
        <v>428</v>
      </c>
      <c r="D290" s="68">
        <v>170210145</v>
      </c>
      <c r="E290" s="34">
        <v>1</v>
      </c>
      <c r="F290" s="69" t="s">
        <v>481</v>
      </c>
      <c r="G290" s="34">
        <v>1</v>
      </c>
      <c r="H290" s="70">
        <v>36102</v>
      </c>
      <c r="I290" s="132" t="s">
        <v>602</v>
      </c>
      <c r="J290" s="138" t="s">
        <v>1309</v>
      </c>
      <c r="K290" s="64" t="s">
        <v>1310</v>
      </c>
      <c r="L290" s="38"/>
      <c r="M290" s="38"/>
    </row>
    <row r="291" customHeight="1" spans="1:13">
      <c r="A291" s="34">
        <v>42</v>
      </c>
      <c r="B291" s="34">
        <v>1702101</v>
      </c>
      <c r="C291" s="67" t="s">
        <v>428</v>
      </c>
      <c r="D291" s="68">
        <v>170210148</v>
      </c>
      <c r="E291" s="34">
        <v>1</v>
      </c>
      <c r="F291" s="69" t="s">
        <v>482</v>
      </c>
      <c r="G291" s="34">
        <v>1</v>
      </c>
      <c r="H291" s="70">
        <v>36117</v>
      </c>
      <c r="I291" s="132" t="s">
        <v>579</v>
      </c>
      <c r="J291" s="136" t="s">
        <v>1311</v>
      </c>
      <c r="K291" s="64" t="s">
        <v>1312</v>
      </c>
      <c r="L291" s="38"/>
      <c r="M291" s="38"/>
    </row>
    <row r="292" customHeight="1" spans="1:13">
      <c r="A292" s="34">
        <v>42</v>
      </c>
      <c r="B292" s="34">
        <v>1702101</v>
      </c>
      <c r="C292" s="67" t="s">
        <v>428</v>
      </c>
      <c r="D292" s="68">
        <v>170210158</v>
      </c>
      <c r="E292" s="34">
        <v>1</v>
      </c>
      <c r="F292" s="69" t="s">
        <v>484</v>
      </c>
      <c r="G292" s="34">
        <v>1</v>
      </c>
      <c r="H292" s="70">
        <v>36301</v>
      </c>
      <c r="I292" s="132" t="s">
        <v>684</v>
      </c>
      <c r="J292" s="136" t="s">
        <v>1313</v>
      </c>
      <c r="K292" s="64" t="s">
        <v>1314</v>
      </c>
      <c r="L292" s="38"/>
      <c r="M292" s="38"/>
    </row>
    <row r="293" customHeight="1" spans="1:13">
      <c r="A293" s="34">
        <v>42</v>
      </c>
      <c r="B293" s="34">
        <v>1702101</v>
      </c>
      <c r="C293" s="67" t="s">
        <v>428</v>
      </c>
      <c r="D293" s="68">
        <v>170210167</v>
      </c>
      <c r="E293" s="34">
        <v>1</v>
      </c>
      <c r="F293" s="69" t="s">
        <v>437</v>
      </c>
      <c r="G293" s="34">
        <v>1</v>
      </c>
      <c r="H293" s="70">
        <v>36099</v>
      </c>
      <c r="I293" s="132" t="s">
        <v>1171</v>
      </c>
      <c r="J293" s="136" t="s">
        <v>1315</v>
      </c>
      <c r="K293" s="64" t="s">
        <v>1316</v>
      </c>
      <c r="L293" s="38"/>
      <c r="M293" s="38"/>
    </row>
    <row r="294" customHeight="1" spans="1:13">
      <c r="A294" s="34">
        <v>42</v>
      </c>
      <c r="B294" s="34">
        <v>1702101</v>
      </c>
      <c r="C294" s="67" t="s">
        <v>428</v>
      </c>
      <c r="D294" s="68">
        <v>170210173</v>
      </c>
      <c r="E294" s="34">
        <v>1</v>
      </c>
      <c r="F294" s="69" t="s">
        <v>439</v>
      </c>
      <c r="G294" s="34">
        <v>1</v>
      </c>
      <c r="H294" s="70">
        <v>35947</v>
      </c>
      <c r="I294" s="132" t="s">
        <v>1317</v>
      </c>
      <c r="J294" s="136" t="s">
        <v>1318</v>
      </c>
      <c r="K294" s="64" t="s">
        <v>1319</v>
      </c>
      <c r="L294" s="38"/>
      <c r="M294" s="38"/>
    </row>
    <row r="295" customHeight="1" spans="1:13">
      <c r="A295" s="34">
        <v>42</v>
      </c>
      <c r="B295" s="34">
        <v>1702101</v>
      </c>
      <c r="C295" s="67" t="s">
        <v>428</v>
      </c>
      <c r="D295" s="68">
        <v>170210206</v>
      </c>
      <c r="E295" s="34">
        <v>1</v>
      </c>
      <c r="F295" s="69" t="s">
        <v>441</v>
      </c>
      <c r="G295" s="34">
        <v>2</v>
      </c>
      <c r="H295" s="70">
        <v>35747</v>
      </c>
      <c r="I295" s="132" t="s">
        <v>554</v>
      </c>
      <c r="J295" s="136" t="s">
        <v>1320</v>
      </c>
      <c r="K295" s="64" t="s">
        <v>1321</v>
      </c>
      <c r="L295" s="38"/>
      <c r="M295" s="38"/>
    </row>
    <row r="296" customHeight="1" spans="1:13">
      <c r="A296" s="34">
        <v>42</v>
      </c>
      <c r="B296" s="34">
        <v>1702101</v>
      </c>
      <c r="C296" s="67" t="s">
        <v>428</v>
      </c>
      <c r="D296" s="68">
        <v>170210207</v>
      </c>
      <c r="E296" s="34">
        <v>1</v>
      </c>
      <c r="F296" s="69" t="s">
        <v>442</v>
      </c>
      <c r="G296" s="34">
        <v>2</v>
      </c>
      <c r="H296" s="70">
        <v>35810</v>
      </c>
      <c r="I296" s="132" t="s">
        <v>1322</v>
      </c>
      <c r="J296" s="136" t="s">
        <v>1323</v>
      </c>
      <c r="K296" s="64" t="s">
        <v>1324</v>
      </c>
      <c r="L296" s="38"/>
      <c r="M296" s="38"/>
    </row>
    <row r="297" customHeight="1" spans="1:13">
      <c r="A297" s="34">
        <v>42</v>
      </c>
      <c r="B297" s="34">
        <v>1702101</v>
      </c>
      <c r="C297" s="67" t="s">
        <v>428</v>
      </c>
      <c r="D297" s="68">
        <v>170210209</v>
      </c>
      <c r="E297" s="34">
        <v>1</v>
      </c>
      <c r="F297" s="69" t="s">
        <v>443</v>
      </c>
      <c r="G297" s="34">
        <v>2</v>
      </c>
      <c r="H297" s="70">
        <v>36430</v>
      </c>
      <c r="I297" s="132" t="s">
        <v>1325</v>
      </c>
      <c r="J297" s="77" t="s">
        <v>1326</v>
      </c>
      <c r="K297" s="64" t="s">
        <v>1327</v>
      </c>
      <c r="L297" s="38"/>
      <c r="M297" s="38"/>
    </row>
    <row r="298" customHeight="1" spans="1:13">
      <c r="A298" s="34">
        <v>42</v>
      </c>
      <c r="B298" s="34">
        <v>1702101</v>
      </c>
      <c r="C298" s="67" t="s">
        <v>428</v>
      </c>
      <c r="D298" s="68">
        <v>170210210</v>
      </c>
      <c r="E298" s="34">
        <v>1</v>
      </c>
      <c r="F298" s="69" t="s">
        <v>444</v>
      </c>
      <c r="G298" s="34">
        <v>2</v>
      </c>
      <c r="H298" s="70">
        <v>35745</v>
      </c>
      <c r="I298" s="132" t="s">
        <v>1328</v>
      </c>
      <c r="J298" s="136" t="s">
        <v>1329</v>
      </c>
      <c r="K298" s="64" t="s">
        <v>1330</v>
      </c>
      <c r="L298" s="38"/>
      <c r="M298" s="38"/>
    </row>
    <row r="299" customHeight="1" spans="1:13">
      <c r="A299" s="34">
        <v>42</v>
      </c>
      <c r="B299" s="34">
        <v>1702101</v>
      </c>
      <c r="C299" s="67" t="s">
        <v>428</v>
      </c>
      <c r="D299" s="68">
        <v>170210214</v>
      </c>
      <c r="E299" s="34">
        <v>1</v>
      </c>
      <c r="F299" s="69" t="s">
        <v>445</v>
      </c>
      <c r="G299" s="34">
        <v>2</v>
      </c>
      <c r="H299" s="70">
        <v>36185</v>
      </c>
      <c r="I299" s="132" t="s">
        <v>1331</v>
      </c>
      <c r="J299" s="136" t="s">
        <v>1332</v>
      </c>
      <c r="K299" s="64" t="s">
        <v>1333</v>
      </c>
      <c r="L299" s="38"/>
      <c r="M299" s="38"/>
    </row>
    <row r="300" customHeight="1" spans="1:13">
      <c r="A300" s="34">
        <v>42</v>
      </c>
      <c r="B300" s="34">
        <v>1702101</v>
      </c>
      <c r="C300" s="67" t="s">
        <v>428</v>
      </c>
      <c r="D300" s="68">
        <v>170210216</v>
      </c>
      <c r="E300" s="34">
        <v>1</v>
      </c>
      <c r="F300" s="69" t="s">
        <v>446</v>
      </c>
      <c r="G300" s="34">
        <v>2</v>
      </c>
      <c r="H300" s="70">
        <v>35681</v>
      </c>
      <c r="I300" s="132" t="s">
        <v>1334</v>
      </c>
      <c r="J300" s="136" t="s">
        <v>1335</v>
      </c>
      <c r="K300" s="64" t="s">
        <v>1336</v>
      </c>
      <c r="L300" s="38"/>
      <c r="M300" s="38"/>
    </row>
    <row r="301" customHeight="1" spans="1:13">
      <c r="A301" s="34">
        <v>42</v>
      </c>
      <c r="B301" s="34">
        <v>1702101</v>
      </c>
      <c r="C301" s="67" t="s">
        <v>428</v>
      </c>
      <c r="D301" s="68">
        <v>170210219</v>
      </c>
      <c r="E301" s="34">
        <v>1</v>
      </c>
      <c r="F301" s="69" t="s">
        <v>447</v>
      </c>
      <c r="G301" s="34">
        <v>1</v>
      </c>
      <c r="H301" s="70">
        <v>36344</v>
      </c>
      <c r="I301" s="132" t="s">
        <v>542</v>
      </c>
      <c r="J301" s="136" t="s">
        <v>1337</v>
      </c>
      <c r="K301" s="64" t="s">
        <v>1338</v>
      </c>
      <c r="L301" s="38"/>
      <c r="M301" s="38"/>
    </row>
    <row r="302" customHeight="1" spans="1:13">
      <c r="A302" s="34">
        <v>42</v>
      </c>
      <c r="B302" s="34">
        <v>1702101</v>
      </c>
      <c r="C302" s="67" t="s">
        <v>428</v>
      </c>
      <c r="D302" s="68">
        <v>170210221</v>
      </c>
      <c r="E302" s="34">
        <v>1</v>
      </c>
      <c r="F302" s="69" t="s">
        <v>449</v>
      </c>
      <c r="G302" s="34">
        <v>1</v>
      </c>
      <c r="H302" s="70">
        <v>36374</v>
      </c>
      <c r="I302" s="132" t="s">
        <v>554</v>
      </c>
      <c r="J302" s="136" t="s">
        <v>1339</v>
      </c>
      <c r="K302" s="64" t="s">
        <v>1340</v>
      </c>
      <c r="L302" s="38"/>
      <c r="M302" s="38"/>
    </row>
    <row r="303" customHeight="1" spans="1:13">
      <c r="A303" s="34">
        <v>42</v>
      </c>
      <c r="B303" s="34">
        <v>1702101</v>
      </c>
      <c r="C303" s="67" t="s">
        <v>428</v>
      </c>
      <c r="D303" s="68">
        <v>170210222</v>
      </c>
      <c r="E303" s="34">
        <v>1</v>
      </c>
      <c r="F303" s="69" t="s">
        <v>450</v>
      </c>
      <c r="G303" s="34">
        <v>1</v>
      </c>
      <c r="H303" s="70">
        <v>36201</v>
      </c>
      <c r="I303" s="132" t="s">
        <v>579</v>
      </c>
      <c r="J303" s="136" t="s">
        <v>1341</v>
      </c>
      <c r="K303" s="34" t="s">
        <v>1342</v>
      </c>
      <c r="L303" s="38"/>
      <c r="M303" s="38"/>
    </row>
    <row r="304" customHeight="1" spans="1:13">
      <c r="A304" s="34">
        <v>42</v>
      </c>
      <c r="B304" s="34">
        <v>1702101</v>
      </c>
      <c r="C304" s="67" t="s">
        <v>428</v>
      </c>
      <c r="D304" s="68">
        <v>170210228</v>
      </c>
      <c r="E304" s="34">
        <v>1</v>
      </c>
      <c r="F304" s="69" t="s">
        <v>451</v>
      </c>
      <c r="G304" s="34">
        <v>1</v>
      </c>
      <c r="H304" s="70">
        <v>36103</v>
      </c>
      <c r="I304" s="132" t="s">
        <v>1322</v>
      </c>
      <c r="J304" s="136" t="s">
        <v>1343</v>
      </c>
      <c r="K304" s="64" t="s">
        <v>1344</v>
      </c>
      <c r="L304" s="38"/>
      <c r="M304" s="38"/>
    </row>
    <row r="305" customHeight="1" spans="1:13">
      <c r="A305" s="34">
        <v>42</v>
      </c>
      <c r="B305" s="34">
        <v>1702101</v>
      </c>
      <c r="C305" s="67" t="s">
        <v>428</v>
      </c>
      <c r="D305" s="68">
        <v>170210230</v>
      </c>
      <c r="E305" s="34">
        <v>1</v>
      </c>
      <c r="F305" s="69" t="s">
        <v>452</v>
      </c>
      <c r="G305" s="34">
        <v>1</v>
      </c>
      <c r="H305" s="70">
        <v>36384</v>
      </c>
      <c r="I305" s="132" t="s">
        <v>602</v>
      </c>
      <c r="J305" s="136" t="s">
        <v>1345</v>
      </c>
      <c r="K305" s="64" t="s">
        <v>1170</v>
      </c>
      <c r="L305" s="38"/>
      <c r="M305" s="38"/>
    </row>
    <row r="306" customHeight="1" spans="1:13">
      <c r="A306" s="34">
        <v>42</v>
      </c>
      <c r="B306" s="34">
        <v>1702101</v>
      </c>
      <c r="C306" s="67" t="s">
        <v>428</v>
      </c>
      <c r="D306" s="68">
        <v>170210236</v>
      </c>
      <c r="E306" s="34">
        <v>1</v>
      </c>
      <c r="F306" s="69" t="s">
        <v>455</v>
      </c>
      <c r="G306" s="34">
        <v>1</v>
      </c>
      <c r="H306" s="70">
        <v>36054</v>
      </c>
      <c r="I306" s="132" t="s">
        <v>1346</v>
      </c>
      <c r="J306" s="136" t="s">
        <v>1347</v>
      </c>
      <c r="K306" s="64" t="s">
        <v>1348</v>
      </c>
      <c r="L306" s="38"/>
      <c r="M306" s="38"/>
    </row>
    <row r="307" customHeight="1" spans="1:13">
      <c r="A307" s="34">
        <v>42</v>
      </c>
      <c r="B307" s="34">
        <v>1702101</v>
      </c>
      <c r="C307" s="67" t="s">
        <v>428</v>
      </c>
      <c r="D307" s="68">
        <v>170210240</v>
      </c>
      <c r="E307" s="34">
        <v>1</v>
      </c>
      <c r="F307" s="69" t="s">
        <v>456</v>
      </c>
      <c r="G307" s="34">
        <v>1</v>
      </c>
      <c r="H307" s="70">
        <v>36385</v>
      </c>
      <c r="I307" s="132" t="s">
        <v>812</v>
      </c>
      <c r="J307" s="136" t="s">
        <v>1349</v>
      </c>
      <c r="K307" s="64" t="s">
        <v>1291</v>
      </c>
      <c r="L307" s="38"/>
      <c r="M307" s="38"/>
    </row>
    <row r="308" customHeight="1" spans="1:13">
      <c r="A308" s="34">
        <v>42</v>
      </c>
      <c r="B308" s="34">
        <v>1702101</v>
      </c>
      <c r="C308" s="67" t="s">
        <v>428</v>
      </c>
      <c r="D308" s="68">
        <v>170210245</v>
      </c>
      <c r="E308" s="34">
        <v>1</v>
      </c>
      <c r="F308" s="69" t="s">
        <v>458</v>
      </c>
      <c r="G308" s="34">
        <v>1</v>
      </c>
      <c r="H308" s="70">
        <v>35911</v>
      </c>
      <c r="I308" s="132" t="s">
        <v>542</v>
      </c>
      <c r="J308" s="136" t="s">
        <v>1350</v>
      </c>
      <c r="K308" s="64" t="s">
        <v>1351</v>
      </c>
      <c r="L308" s="38"/>
      <c r="M308" s="38"/>
    </row>
    <row r="309" customHeight="1" spans="1:13">
      <c r="A309" s="34">
        <v>42</v>
      </c>
      <c r="B309" s="34">
        <v>1702101</v>
      </c>
      <c r="C309" s="67" t="s">
        <v>428</v>
      </c>
      <c r="D309" s="68">
        <v>170210252</v>
      </c>
      <c r="E309" s="34">
        <v>1</v>
      </c>
      <c r="F309" s="69" t="s">
        <v>459</v>
      </c>
      <c r="G309" s="34">
        <v>1</v>
      </c>
      <c r="H309" s="70">
        <v>36188</v>
      </c>
      <c r="I309" s="132" t="s">
        <v>554</v>
      </c>
      <c r="J309" s="136" t="s">
        <v>1352</v>
      </c>
      <c r="K309" s="64" t="s">
        <v>1353</v>
      </c>
      <c r="L309" s="38"/>
      <c r="M309" s="38"/>
    </row>
    <row r="310" customHeight="1" spans="1:13">
      <c r="A310" s="34">
        <v>42</v>
      </c>
      <c r="B310" s="34">
        <v>1702101</v>
      </c>
      <c r="C310" s="67" t="s">
        <v>428</v>
      </c>
      <c r="D310" s="68">
        <v>170210256</v>
      </c>
      <c r="E310" s="34">
        <v>1</v>
      </c>
      <c r="F310" s="69" t="s">
        <v>460</v>
      </c>
      <c r="G310" s="34">
        <v>1</v>
      </c>
      <c r="H310" s="70">
        <v>36093</v>
      </c>
      <c r="I310" s="132" t="s">
        <v>1354</v>
      </c>
      <c r="J310" s="136" t="s">
        <v>1355</v>
      </c>
      <c r="K310" s="64" t="s">
        <v>1356</v>
      </c>
      <c r="L310" s="38"/>
      <c r="M310" s="38"/>
    </row>
    <row r="311" customHeight="1" spans="1:13">
      <c r="A311" s="34">
        <v>42</v>
      </c>
      <c r="B311" s="34">
        <v>1702101</v>
      </c>
      <c r="C311" s="67" t="s">
        <v>428</v>
      </c>
      <c r="D311" s="68">
        <v>170210258</v>
      </c>
      <c r="E311" s="34">
        <v>1</v>
      </c>
      <c r="F311" s="69" t="s">
        <v>463</v>
      </c>
      <c r="G311" s="34">
        <v>1</v>
      </c>
      <c r="H311" s="70">
        <v>35962</v>
      </c>
      <c r="I311" s="132" t="s">
        <v>1354</v>
      </c>
      <c r="J311" s="138" t="s">
        <v>1357</v>
      </c>
      <c r="K311" s="64" t="s">
        <v>1358</v>
      </c>
      <c r="L311" s="38"/>
      <c r="M311" s="38"/>
    </row>
    <row r="312" customHeight="1" spans="1:13">
      <c r="A312" s="34">
        <v>42</v>
      </c>
      <c r="B312" s="34">
        <v>1702101</v>
      </c>
      <c r="C312" s="67" t="s">
        <v>428</v>
      </c>
      <c r="D312" s="68">
        <v>170210268</v>
      </c>
      <c r="E312" s="34">
        <v>1</v>
      </c>
      <c r="F312" s="69" t="s">
        <v>431</v>
      </c>
      <c r="G312" s="34">
        <v>1</v>
      </c>
      <c r="H312" s="70">
        <v>36384</v>
      </c>
      <c r="I312" s="132" t="s">
        <v>898</v>
      </c>
      <c r="J312" s="136" t="s">
        <v>1359</v>
      </c>
      <c r="K312" s="64" t="s">
        <v>1360</v>
      </c>
      <c r="L312" s="38"/>
      <c r="M312" s="38"/>
    </row>
    <row r="313" customHeight="1" spans="1:13">
      <c r="A313" s="34">
        <v>42</v>
      </c>
      <c r="B313" s="34">
        <v>1702101</v>
      </c>
      <c r="C313" s="67" t="s">
        <v>428</v>
      </c>
      <c r="D313" s="68">
        <v>170210272</v>
      </c>
      <c r="E313" s="34">
        <v>1</v>
      </c>
      <c r="F313" s="69" t="s">
        <v>434</v>
      </c>
      <c r="G313" s="34">
        <v>1</v>
      </c>
      <c r="H313" s="70">
        <v>36054</v>
      </c>
      <c r="I313" s="132" t="s">
        <v>853</v>
      </c>
      <c r="J313" s="136" t="s">
        <v>1361</v>
      </c>
      <c r="K313" s="64" t="s">
        <v>1362</v>
      </c>
      <c r="L313" s="38"/>
      <c r="M313" s="38"/>
    </row>
    <row r="314" customHeight="1" spans="1:13">
      <c r="A314" s="34">
        <v>42</v>
      </c>
      <c r="B314" s="34">
        <v>1702101</v>
      </c>
      <c r="C314" s="67" t="s">
        <v>428</v>
      </c>
      <c r="D314" s="68">
        <v>170210274</v>
      </c>
      <c r="E314" s="34">
        <v>1</v>
      </c>
      <c r="F314" s="69" t="s">
        <v>435</v>
      </c>
      <c r="G314" s="34">
        <v>1</v>
      </c>
      <c r="H314" s="70">
        <v>36236</v>
      </c>
      <c r="I314" s="132" t="s">
        <v>570</v>
      </c>
      <c r="J314" s="136" t="s">
        <v>1363</v>
      </c>
      <c r="K314" s="64" t="s">
        <v>1364</v>
      </c>
      <c r="L314" s="38"/>
      <c r="M314" s="38"/>
    </row>
    <row r="315" customHeight="1" spans="1:13">
      <c r="A315" s="34">
        <v>42</v>
      </c>
      <c r="B315" s="34">
        <v>1702101</v>
      </c>
      <c r="C315" s="67" t="s">
        <v>428</v>
      </c>
      <c r="D315" s="68">
        <v>170210275</v>
      </c>
      <c r="E315" s="34">
        <v>1</v>
      </c>
      <c r="F315" s="69" t="s">
        <v>429</v>
      </c>
      <c r="G315" s="34">
        <v>2</v>
      </c>
      <c r="H315" s="70">
        <v>36209</v>
      </c>
      <c r="I315" s="132" t="s">
        <v>570</v>
      </c>
      <c r="J315" s="136" t="s">
        <v>1365</v>
      </c>
      <c r="K315" s="64" t="s">
        <v>1366</v>
      </c>
      <c r="L315" s="38"/>
      <c r="M315" s="38"/>
    </row>
    <row r="316" customHeight="1" spans="1:13">
      <c r="A316" s="34">
        <v>42</v>
      </c>
      <c r="B316" s="34">
        <v>1702101</v>
      </c>
      <c r="C316" s="67" t="s">
        <v>428</v>
      </c>
      <c r="D316" s="68">
        <v>170210178</v>
      </c>
      <c r="E316" s="34">
        <v>1</v>
      </c>
      <c r="F316" s="69" t="s">
        <v>430</v>
      </c>
      <c r="G316" s="34">
        <v>1</v>
      </c>
      <c r="H316" s="70">
        <v>36561</v>
      </c>
      <c r="I316" s="132" t="s">
        <v>547</v>
      </c>
      <c r="J316" s="136" t="s">
        <v>1367</v>
      </c>
      <c r="K316" s="64" t="s">
        <v>1368</v>
      </c>
      <c r="L316" s="38"/>
      <c r="M316" s="38"/>
    </row>
    <row r="317" customHeight="1" spans="1:13">
      <c r="A317" s="34">
        <v>42</v>
      </c>
      <c r="B317" s="34">
        <v>1702101</v>
      </c>
      <c r="C317" s="67" t="s">
        <v>428</v>
      </c>
      <c r="D317" s="68">
        <v>170210152</v>
      </c>
      <c r="E317" s="34">
        <v>1</v>
      </c>
      <c r="F317" s="69" t="s">
        <v>483</v>
      </c>
      <c r="G317" s="34">
        <v>1</v>
      </c>
      <c r="H317" s="70">
        <v>35772</v>
      </c>
      <c r="I317" s="132" t="s">
        <v>1369</v>
      </c>
      <c r="J317" s="136" t="s">
        <v>1370</v>
      </c>
      <c r="K317" s="64" t="s">
        <v>1371</v>
      </c>
      <c r="L317" s="38"/>
      <c r="M317" s="38"/>
    </row>
    <row r="318" customHeight="1" spans="1:13">
      <c r="A318" s="34">
        <v>42</v>
      </c>
      <c r="B318" s="34">
        <v>1702101</v>
      </c>
      <c r="C318" s="67" t="s">
        <v>428</v>
      </c>
      <c r="D318" s="68">
        <v>170210201</v>
      </c>
      <c r="E318" s="34">
        <v>1</v>
      </c>
      <c r="F318" s="64" t="s">
        <v>440</v>
      </c>
      <c r="G318" s="34">
        <v>2</v>
      </c>
      <c r="H318" s="70">
        <v>36494</v>
      </c>
      <c r="I318" s="132" t="s">
        <v>705</v>
      </c>
      <c r="J318" s="136" t="s">
        <v>1372</v>
      </c>
      <c r="K318" s="64" t="s">
        <v>1373</v>
      </c>
      <c r="L318" s="38"/>
      <c r="M318" s="38"/>
    </row>
    <row r="319" customHeight="1" spans="1:13">
      <c r="A319" s="34">
        <v>42</v>
      </c>
      <c r="B319" s="34">
        <v>1702101</v>
      </c>
      <c r="C319" s="67" t="s">
        <v>428</v>
      </c>
      <c r="D319" s="68">
        <v>170210131</v>
      </c>
      <c r="E319" s="34">
        <v>1</v>
      </c>
      <c r="F319" s="64" t="s">
        <v>471</v>
      </c>
      <c r="G319" s="34">
        <v>1</v>
      </c>
      <c r="H319" s="70">
        <v>36341</v>
      </c>
      <c r="I319" s="132" t="s">
        <v>787</v>
      </c>
      <c r="J319" s="136" t="s">
        <v>1374</v>
      </c>
      <c r="K319" s="64" t="s">
        <v>1375</v>
      </c>
      <c r="L319" s="38"/>
      <c r="M319" s="38"/>
    </row>
    <row r="320" customHeight="1" spans="1:13">
      <c r="A320" s="34">
        <v>42</v>
      </c>
      <c r="B320" s="34">
        <v>1702101</v>
      </c>
      <c r="C320" s="67" t="s">
        <v>428</v>
      </c>
      <c r="D320" s="68">
        <v>170210232</v>
      </c>
      <c r="E320" s="34">
        <v>1</v>
      </c>
      <c r="F320" s="64" t="s">
        <v>453</v>
      </c>
      <c r="G320" s="34">
        <v>1</v>
      </c>
      <c r="H320" s="70">
        <v>36107</v>
      </c>
      <c r="I320" s="132" t="s">
        <v>565</v>
      </c>
      <c r="J320" s="136" t="s">
        <v>1376</v>
      </c>
      <c r="K320" s="64" t="s">
        <v>1377</v>
      </c>
      <c r="L320" s="38"/>
      <c r="M320" s="38"/>
    </row>
    <row r="321" customHeight="1" spans="1:13">
      <c r="A321" s="34">
        <v>42</v>
      </c>
      <c r="B321" s="34">
        <v>1702101</v>
      </c>
      <c r="C321" s="67" t="s">
        <v>428</v>
      </c>
      <c r="D321" s="68">
        <v>170210234</v>
      </c>
      <c r="E321" s="34">
        <v>1</v>
      </c>
      <c r="F321" s="64" t="s">
        <v>454</v>
      </c>
      <c r="G321" s="34">
        <v>1</v>
      </c>
      <c r="H321" s="70">
        <v>35847</v>
      </c>
      <c r="I321" s="132" t="s">
        <v>1378</v>
      </c>
      <c r="J321" s="136" t="s">
        <v>1379</v>
      </c>
      <c r="K321" s="64" t="s">
        <v>1380</v>
      </c>
      <c r="L321" s="38"/>
      <c r="M321" s="38"/>
    </row>
    <row r="322" customHeight="1" spans="1:13">
      <c r="A322" s="34">
        <v>42</v>
      </c>
      <c r="B322" s="34">
        <v>1702101</v>
      </c>
      <c r="C322" s="67" t="s">
        <v>428</v>
      </c>
      <c r="D322" s="68">
        <v>170210257</v>
      </c>
      <c r="E322" s="34">
        <v>1</v>
      </c>
      <c r="F322" s="64" t="s">
        <v>461</v>
      </c>
      <c r="G322" s="34">
        <v>1</v>
      </c>
      <c r="H322" s="70">
        <v>36112</v>
      </c>
      <c r="I322" s="132" t="s">
        <v>705</v>
      </c>
      <c r="J322" s="136" t="s">
        <v>1381</v>
      </c>
      <c r="K322" s="65" t="s">
        <v>1382</v>
      </c>
      <c r="L322" s="38"/>
      <c r="M322" s="38"/>
    </row>
    <row r="323" customHeight="1" spans="1:13">
      <c r="A323" s="34">
        <v>42</v>
      </c>
      <c r="B323" s="34">
        <v>1702101</v>
      </c>
      <c r="C323" s="67" t="s">
        <v>428</v>
      </c>
      <c r="D323" s="68">
        <v>170210269</v>
      </c>
      <c r="E323" s="34">
        <v>1</v>
      </c>
      <c r="F323" s="64" t="s">
        <v>1383</v>
      </c>
      <c r="G323" s="34">
        <v>1</v>
      </c>
      <c r="H323" s="70">
        <v>36280</v>
      </c>
      <c r="I323" s="132" t="s">
        <v>1384</v>
      </c>
      <c r="J323" s="136" t="s">
        <v>1385</v>
      </c>
      <c r="K323" s="64" t="s">
        <v>1371</v>
      </c>
      <c r="L323" s="38"/>
      <c r="M323" s="38"/>
    </row>
    <row r="324" customHeight="1" spans="1:13">
      <c r="A324" s="34">
        <v>42</v>
      </c>
      <c r="B324" s="34">
        <v>1702101</v>
      </c>
      <c r="C324" s="67" t="s">
        <v>428</v>
      </c>
      <c r="D324" s="68">
        <v>170210271</v>
      </c>
      <c r="E324" s="34">
        <v>1</v>
      </c>
      <c r="F324" s="64" t="s">
        <v>433</v>
      </c>
      <c r="G324" s="34">
        <v>1</v>
      </c>
      <c r="H324" s="70">
        <v>36140</v>
      </c>
      <c r="I324" s="132" t="s">
        <v>570</v>
      </c>
      <c r="J324" s="136" t="s">
        <v>1386</v>
      </c>
      <c r="K324" s="64" t="s">
        <v>1387</v>
      </c>
      <c r="L324" s="38"/>
      <c r="M324" s="38"/>
    </row>
    <row r="325" s="30" customFormat="1" customHeight="1" spans="1:13">
      <c r="A325" s="34">
        <v>42</v>
      </c>
      <c r="B325" s="34">
        <v>170210</v>
      </c>
      <c r="C325" s="67" t="s">
        <v>485</v>
      </c>
      <c r="D325" s="80">
        <v>170210475</v>
      </c>
      <c r="E325" s="34">
        <v>1</v>
      </c>
      <c r="F325" s="80" t="s">
        <v>486</v>
      </c>
      <c r="G325" s="80">
        <v>2</v>
      </c>
      <c r="H325" s="81" t="s">
        <v>1388</v>
      </c>
      <c r="I325" s="84">
        <v>321000</v>
      </c>
      <c r="J325" s="85" t="s">
        <v>1389</v>
      </c>
      <c r="K325" s="86" t="s">
        <v>1170</v>
      </c>
      <c r="L325" s="34"/>
      <c r="M325" s="34"/>
    </row>
    <row r="326" s="30" customFormat="1" customHeight="1" spans="1:13">
      <c r="A326" s="34">
        <v>42</v>
      </c>
      <c r="B326" s="34">
        <v>170210</v>
      </c>
      <c r="C326" s="67" t="s">
        <v>485</v>
      </c>
      <c r="D326" s="80">
        <v>170210461</v>
      </c>
      <c r="E326" s="34">
        <v>1</v>
      </c>
      <c r="F326" s="80" t="s">
        <v>488</v>
      </c>
      <c r="G326" s="80">
        <v>1</v>
      </c>
      <c r="H326" s="81" t="s">
        <v>922</v>
      </c>
      <c r="I326" s="84">
        <v>330400</v>
      </c>
      <c r="J326" s="85" t="s">
        <v>1390</v>
      </c>
      <c r="K326" s="86" t="s">
        <v>1391</v>
      </c>
      <c r="L326" s="34"/>
      <c r="M326" s="34"/>
    </row>
    <row r="327" s="30" customFormat="1" customHeight="1" spans="1:13">
      <c r="A327" s="34">
        <v>42</v>
      </c>
      <c r="B327" s="34">
        <v>170210</v>
      </c>
      <c r="C327" s="67" t="s">
        <v>485</v>
      </c>
      <c r="D327" s="80">
        <v>170210462</v>
      </c>
      <c r="E327" s="34">
        <v>1</v>
      </c>
      <c r="F327" s="80" t="s">
        <v>489</v>
      </c>
      <c r="G327" s="80">
        <v>1</v>
      </c>
      <c r="H327" s="81" t="s">
        <v>1392</v>
      </c>
      <c r="I327" s="84">
        <v>320100</v>
      </c>
      <c r="J327" s="85" t="s">
        <v>1393</v>
      </c>
      <c r="K327" s="86" t="s">
        <v>1394</v>
      </c>
      <c r="L327" s="34"/>
      <c r="M327" s="34"/>
    </row>
    <row r="328" s="30" customFormat="1" customHeight="1" spans="1:13">
      <c r="A328" s="34">
        <v>42</v>
      </c>
      <c r="B328" s="34">
        <v>170210</v>
      </c>
      <c r="C328" s="67" t="s">
        <v>485</v>
      </c>
      <c r="D328" s="80">
        <v>170210474</v>
      </c>
      <c r="E328" s="34">
        <v>1</v>
      </c>
      <c r="F328" s="80" t="s">
        <v>490</v>
      </c>
      <c r="G328" s="80">
        <v>1</v>
      </c>
      <c r="H328" s="81" t="s">
        <v>972</v>
      </c>
      <c r="I328" s="84">
        <v>321000</v>
      </c>
      <c r="J328" s="85" t="s">
        <v>1395</v>
      </c>
      <c r="K328" s="86" t="s">
        <v>1396</v>
      </c>
      <c r="L328" s="34"/>
      <c r="M328" s="34"/>
    </row>
    <row r="329" s="30" customFormat="1" customHeight="1" spans="1:13">
      <c r="A329" s="34">
        <v>42</v>
      </c>
      <c r="B329" s="34">
        <v>170210</v>
      </c>
      <c r="C329" s="67" t="s">
        <v>485</v>
      </c>
      <c r="D329" s="80">
        <v>170210357</v>
      </c>
      <c r="E329" s="34">
        <v>1</v>
      </c>
      <c r="F329" s="80" t="s">
        <v>491</v>
      </c>
      <c r="G329" s="80">
        <v>1</v>
      </c>
      <c r="H329" s="81" t="s">
        <v>1131</v>
      </c>
      <c r="I329" s="84">
        <v>320300</v>
      </c>
      <c r="J329" s="85" t="s">
        <v>1397</v>
      </c>
      <c r="K329" s="34" t="s">
        <v>1398</v>
      </c>
      <c r="L329" s="34"/>
      <c r="M329" s="34"/>
    </row>
    <row r="330" s="30" customFormat="1" customHeight="1" spans="1:13">
      <c r="A330" s="34">
        <v>42</v>
      </c>
      <c r="B330" s="34">
        <v>170210</v>
      </c>
      <c r="C330" s="67" t="s">
        <v>485</v>
      </c>
      <c r="D330" s="80">
        <v>170210361</v>
      </c>
      <c r="E330" s="34">
        <v>1</v>
      </c>
      <c r="F330" s="80" t="s">
        <v>492</v>
      </c>
      <c r="G330" s="80">
        <v>1</v>
      </c>
      <c r="H330" s="81" t="s">
        <v>1399</v>
      </c>
      <c r="I330" s="84">
        <v>320600</v>
      </c>
      <c r="J330" s="85" t="s">
        <v>1400</v>
      </c>
      <c r="K330" s="86" t="s">
        <v>1401</v>
      </c>
      <c r="L330" s="34"/>
      <c r="M330" s="34"/>
    </row>
    <row r="331" s="30" customFormat="1" customHeight="1" spans="1:13">
      <c r="A331" s="34">
        <v>42</v>
      </c>
      <c r="B331" s="34">
        <v>170210</v>
      </c>
      <c r="C331" s="67" t="s">
        <v>485</v>
      </c>
      <c r="D331" s="80">
        <v>170210367</v>
      </c>
      <c r="E331" s="34">
        <v>1</v>
      </c>
      <c r="F331" s="80" t="s">
        <v>493</v>
      </c>
      <c r="G331" s="80">
        <v>1</v>
      </c>
      <c r="H331" s="81" t="s">
        <v>1402</v>
      </c>
      <c r="I331" s="84">
        <v>320800</v>
      </c>
      <c r="J331" s="85" t="s">
        <v>1403</v>
      </c>
      <c r="K331" s="86" t="s">
        <v>1404</v>
      </c>
      <c r="L331" s="34"/>
      <c r="M331" s="34"/>
    </row>
    <row r="332" s="30" customFormat="1" customHeight="1" spans="1:13">
      <c r="A332" s="34">
        <v>42</v>
      </c>
      <c r="B332" s="34">
        <v>170210</v>
      </c>
      <c r="C332" s="67" t="s">
        <v>485</v>
      </c>
      <c r="D332" s="80">
        <v>170210371</v>
      </c>
      <c r="E332" s="34">
        <v>1</v>
      </c>
      <c r="F332" s="80" t="s">
        <v>494</v>
      </c>
      <c r="G332" s="80">
        <v>1</v>
      </c>
      <c r="H332" s="81" t="s">
        <v>1405</v>
      </c>
      <c r="I332" s="84">
        <v>210300</v>
      </c>
      <c r="J332" s="85" t="s">
        <v>1406</v>
      </c>
      <c r="K332" s="86" t="s">
        <v>1170</v>
      </c>
      <c r="L332" s="34"/>
      <c r="M332" s="34"/>
    </row>
    <row r="333" s="30" customFormat="1" customHeight="1" spans="1:13">
      <c r="A333" s="34">
        <v>42</v>
      </c>
      <c r="B333" s="34">
        <v>170210</v>
      </c>
      <c r="C333" s="67" t="s">
        <v>485</v>
      </c>
      <c r="D333" s="80">
        <v>170210401</v>
      </c>
      <c r="E333" s="34">
        <v>1</v>
      </c>
      <c r="F333" s="80" t="s">
        <v>496</v>
      </c>
      <c r="G333" s="80">
        <v>2</v>
      </c>
      <c r="H333" s="81" t="s">
        <v>1407</v>
      </c>
      <c r="I333" s="84">
        <v>320600</v>
      </c>
      <c r="J333" s="85" t="s">
        <v>1408</v>
      </c>
      <c r="K333" s="34" t="s">
        <v>1409</v>
      </c>
      <c r="L333" s="34"/>
      <c r="M333" s="34"/>
    </row>
    <row r="334" s="30" customFormat="1" customHeight="1" spans="1:13">
      <c r="A334" s="34">
        <v>42</v>
      </c>
      <c r="B334" s="34">
        <v>170210</v>
      </c>
      <c r="C334" s="67" t="s">
        <v>485</v>
      </c>
      <c r="D334" s="80">
        <v>170210404</v>
      </c>
      <c r="E334" s="34">
        <v>1</v>
      </c>
      <c r="F334" s="80" t="s">
        <v>497</v>
      </c>
      <c r="G334" s="80">
        <v>2</v>
      </c>
      <c r="H334" s="81" t="s">
        <v>1410</v>
      </c>
      <c r="I334" s="84">
        <v>410500</v>
      </c>
      <c r="J334" s="85" t="s">
        <v>1411</v>
      </c>
      <c r="K334" s="86" t="s">
        <v>1412</v>
      </c>
      <c r="L334" s="34"/>
      <c r="M334" s="34"/>
    </row>
    <row r="335" s="30" customFormat="1" customHeight="1" spans="1:13">
      <c r="A335" s="34">
        <v>42</v>
      </c>
      <c r="B335" s="34">
        <v>170210</v>
      </c>
      <c r="C335" s="67" t="s">
        <v>485</v>
      </c>
      <c r="D335" s="80">
        <v>170210409</v>
      </c>
      <c r="E335" s="34">
        <v>1</v>
      </c>
      <c r="F335" s="80" t="s">
        <v>498</v>
      </c>
      <c r="G335" s="80">
        <v>2</v>
      </c>
      <c r="H335" s="81" t="s">
        <v>1413</v>
      </c>
      <c r="I335" s="84">
        <v>320300</v>
      </c>
      <c r="J335" s="127" t="s">
        <v>1414</v>
      </c>
      <c r="K335" s="86" t="s">
        <v>1415</v>
      </c>
      <c r="L335" s="34"/>
      <c r="M335" s="34"/>
    </row>
    <row r="336" s="30" customFormat="1" customHeight="1" spans="1:13">
      <c r="A336" s="34">
        <v>42</v>
      </c>
      <c r="B336" s="34">
        <v>170210</v>
      </c>
      <c r="C336" s="67" t="s">
        <v>485</v>
      </c>
      <c r="D336" s="80">
        <v>170210412</v>
      </c>
      <c r="E336" s="34">
        <v>1</v>
      </c>
      <c r="F336" s="80" t="s">
        <v>499</v>
      </c>
      <c r="G336" s="80">
        <v>2</v>
      </c>
      <c r="H336" s="81" t="s">
        <v>1113</v>
      </c>
      <c r="I336" s="84">
        <v>320800</v>
      </c>
      <c r="J336" s="85" t="s">
        <v>1416</v>
      </c>
      <c r="K336" s="86" t="s">
        <v>1417</v>
      </c>
      <c r="L336" s="34"/>
      <c r="M336" s="34"/>
    </row>
    <row r="337" s="30" customFormat="1" customHeight="1" spans="1:13">
      <c r="A337" s="34">
        <v>42</v>
      </c>
      <c r="B337" s="34">
        <v>170210</v>
      </c>
      <c r="C337" s="67" t="s">
        <v>485</v>
      </c>
      <c r="D337" s="80">
        <v>170210425</v>
      </c>
      <c r="E337" s="34">
        <v>1</v>
      </c>
      <c r="F337" s="80" t="s">
        <v>501</v>
      </c>
      <c r="G337" s="80">
        <v>1</v>
      </c>
      <c r="H337" s="81" t="s">
        <v>1418</v>
      </c>
      <c r="I337" s="84">
        <v>320600</v>
      </c>
      <c r="J337" s="85" t="s">
        <v>1419</v>
      </c>
      <c r="K337" s="34" t="s">
        <v>1420</v>
      </c>
      <c r="L337" s="34"/>
      <c r="M337" s="34"/>
    </row>
    <row r="338" s="30" customFormat="1" customHeight="1" spans="1:13">
      <c r="A338" s="34">
        <v>42</v>
      </c>
      <c r="B338" s="34">
        <v>170210</v>
      </c>
      <c r="C338" s="67" t="s">
        <v>485</v>
      </c>
      <c r="D338" s="80">
        <v>170210429</v>
      </c>
      <c r="E338" s="34">
        <v>1</v>
      </c>
      <c r="F338" s="80" t="s">
        <v>503</v>
      </c>
      <c r="G338" s="80">
        <v>1</v>
      </c>
      <c r="H338" s="81" t="s">
        <v>1421</v>
      </c>
      <c r="I338" s="84">
        <v>320600</v>
      </c>
      <c r="J338" s="85" t="s">
        <v>1422</v>
      </c>
      <c r="K338" s="86" t="s">
        <v>1423</v>
      </c>
      <c r="L338" s="34"/>
      <c r="M338" s="34"/>
    </row>
    <row r="339" s="30" customFormat="1" customHeight="1" spans="1:13">
      <c r="A339" s="34">
        <v>42</v>
      </c>
      <c r="B339" s="34">
        <v>170210</v>
      </c>
      <c r="C339" s="67" t="s">
        <v>485</v>
      </c>
      <c r="D339" s="80">
        <v>170210436</v>
      </c>
      <c r="E339" s="34">
        <v>1</v>
      </c>
      <c r="F339" s="80" t="s">
        <v>504</v>
      </c>
      <c r="G339" s="80">
        <v>1</v>
      </c>
      <c r="H339" s="81" t="s">
        <v>1032</v>
      </c>
      <c r="I339" s="84">
        <v>321100</v>
      </c>
      <c r="J339" s="85" t="s">
        <v>1424</v>
      </c>
      <c r="K339" s="86" t="s">
        <v>1425</v>
      </c>
      <c r="L339" s="34"/>
      <c r="M339" s="34"/>
    </row>
    <row r="340" s="30" customFormat="1" customHeight="1" spans="1:13">
      <c r="A340" s="34">
        <v>42</v>
      </c>
      <c r="B340" s="34">
        <v>170210</v>
      </c>
      <c r="C340" s="67" t="s">
        <v>485</v>
      </c>
      <c r="D340" s="80">
        <v>170210440</v>
      </c>
      <c r="E340" s="34">
        <v>1</v>
      </c>
      <c r="F340" s="80" t="s">
        <v>505</v>
      </c>
      <c r="G340" s="80">
        <v>1</v>
      </c>
      <c r="H340" s="81" t="s">
        <v>1426</v>
      </c>
      <c r="I340" s="84">
        <v>140500</v>
      </c>
      <c r="J340" s="85" t="s">
        <v>1427</v>
      </c>
      <c r="K340" s="86" t="s">
        <v>1428</v>
      </c>
      <c r="L340" s="34"/>
      <c r="M340" s="34"/>
    </row>
    <row r="341" s="30" customFormat="1" customHeight="1" spans="1:13">
      <c r="A341" s="34">
        <v>42</v>
      </c>
      <c r="B341" s="34">
        <v>170210</v>
      </c>
      <c r="C341" s="67" t="s">
        <v>485</v>
      </c>
      <c r="D341" s="80">
        <v>170210443</v>
      </c>
      <c r="E341" s="34">
        <v>1</v>
      </c>
      <c r="F341" s="80" t="s">
        <v>507</v>
      </c>
      <c r="G341" s="80">
        <v>1</v>
      </c>
      <c r="H341" s="81" t="s">
        <v>1429</v>
      </c>
      <c r="I341" s="84">
        <v>330200</v>
      </c>
      <c r="J341" s="85" t="s">
        <v>1430</v>
      </c>
      <c r="K341" s="86" t="s">
        <v>1431</v>
      </c>
      <c r="L341" s="34"/>
      <c r="M341" s="34"/>
    </row>
    <row r="342" s="30" customFormat="1" customHeight="1" spans="1:13">
      <c r="A342" s="34">
        <v>42</v>
      </c>
      <c r="B342" s="34">
        <v>170210</v>
      </c>
      <c r="C342" s="67" t="s">
        <v>485</v>
      </c>
      <c r="D342" s="80">
        <v>17021044</v>
      </c>
      <c r="E342" s="34">
        <v>1</v>
      </c>
      <c r="F342" s="80" t="s">
        <v>508</v>
      </c>
      <c r="G342" s="80">
        <v>1</v>
      </c>
      <c r="H342" s="82">
        <v>36490</v>
      </c>
      <c r="I342" s="84">
        <v>320900</v>
      </c>
      <c r="J342" s="85" t="s">
        <v>1432</v>
      </c>
      <c r="K342" s="86" t="s">
        <v>1170</v>
      </c>
      <c r="L342" s="34"/>
      <c r="M342" s="34"/>
    </row>
    <row r="343" s="30" customFormat="1" customHeight="1" spans="1:13">
      <c r="A343" s="34">
        <v>42</v>
      </c>
      <c r="B343" s="34">
        <v>170210</v>
      </c>
      <c r="C343" s="67" t="s">
        <v>485</v>
      </c>
      <c r="D343" s="80">
        <v>170210445</v>
      </c>
      <c r="E343" s="34">
        <v>1</v>
      </c>
      <c r="F343" s="80" t="s">
        <v>509</v>
      </c>
      <c r="G343" s="80">
        <v>1</v>
      </c>
      <c r="H343" s="81" t="s">
        <v>1433</v>
      </c>
      <c r="I343" s="84">
        <v>342400</v>
      </c>
      <c r="J343" s="85" t="s">
        <v>1434</v>
      </c>
      <c r="K343" s="86" t="s">
        <v>1435</v>
      </c>
      <c r="L343" s="34"/>
      <c r="M343" s="34"/>
    </row>
    <row r="344" s="30" customFormat="1" customHeight="1" spans="1:13">
      <c r="A344" s="34">
        <v>42</v>
      </c>
      <c r="B344" s="34">
        <v>170210</v>
      </c>
      <c r="C344" s="67" t="s">
        <v>485</v>
      </c>
      <c r="D344" s="80">
        <v>170210449</v>
      </c>
      <c r="E344" s="34">
        <v>1</v>
      </c>
      <c r="F344" s="80" t="s">
        <v>510</v>
      </c>
      <c r="G344" s="80">
        <v>1</v>
      </c>
      <c r="H344" s="81" t="s">
        <v>1436</v>
      </c>
      <c r="I344" s="84">
        <v>321300</v>
      </c>
      <c r="J344" s="85" t="s">
        <v>1437</v>
      </c>
      <c r="K344" s="86" t="s">
        <v>1170</v>
      </c>
      <c r="L344" s="34"/>
      <c r="M344" s="34"/>
    </row>
    <row r="345" s="30" customFormat="1" customHeight="1" spans="1:13">
      <c r="A345" s="34">
        <v>42</v>
      </c>
      <c r="B345" s="34">
        <v>170210</v>
      </c>
      <c r="C345" s="67" t="s">
        <v>485</v>
      </c>
      <c r="D345" s="83">
        <v>170210303</v>
      </c>
      <c r="E345" s="34">
        <v>1</v>
      </c>
      <c r="F345" s="80" t="s">
        <v>512</v>
      </c>
      <c r="G345" s="80">
        <v>2</v>
      </c>
      <c r="H345" s="81" t="s">
        <v>1438</v>
      </c>
      <c r="I345" s="84">
        <v>330500</v>
      </c>
      <c r="J345" s="85" t="s">
        <v>1439</v>
      </c>
      <c r="K345" s="34" t="s">
        <v>1440</v>
      </c>
      <c r="L345" s="34"/>
      <c r="M345" s="34"/>
    </row>
    <row r="346" s="30" customFormat="1" customHeight="1" spans="1:13">
      <c r="A346" s="34">
        <v>42</v>
      </c>
      <c r="B346" s="34">
        <v>170210</v>
      </c>
      <c r="C346" s="67" t="s">
        <v>485</v>
      </c>
      <c r="D346" s="83">
        <v>170210304</v>
      </c>
      <c r="E346" s="34">
        <v>1</v>
      </c>
      <c r="F346" s="80" t="s">
        <v>513</v>
      </c>
      <c r="G346" s="80">
        <v>2</v>
      </c>
      <c r="H346" s="81" t="s">
        <v>1441</v>
      </c>
      <c r="I346" s="84">
        <v>330600</v>
      </c>
      <c r="J346" s="85" t="s">
        <v>1442</v>
      </c>
      <c r="K346" s="86" t="s">
        <v>1443</v>
      </c>
      <c r="L346" s="34"/>
      <c r="M346" s="34"/>
    </row>
    <row r="347" s="30" customFormat="1" customHeight="1" spans="1:13">
      <c r="A347" s="34">
        <v>42</v>
      </c>
      <c r="B347" s="34">
        <v>170210</v>
      </c>
      <c r="C347" s="67" t="s">
        <v>485</v>
      </c>
      <c r="D347" s="83">
        <v>170210305</v>
      </c>
      <c r="E347" s="34">
        <v>1</v>
      </c>
      <c r="F347" s="80" t="s">
        <v>514</v>
      </c>
      <c r="G347" s="80">
        <v>2</v>
      </c>
      <c r="H347" s="82">
        <v>36416</v>
      </c>
      <c r="I347" s="84">
        <v>320300</v>
      </c>
      <c r="J347" s="85" t="s">
        <v>1444</v>
      </c>
      <c r="K347" s="86" t="s">
        <v>1445</v>
      </c>
      <c r="L347" s="34"/>
      <c r="M347" s="34"/>
    </row>
    <row r="348" s="30" customFormat="1" customHeight="1" spans="1:13">
      <c r="A348" s="34">
        <v>42</v>
      </c>
      <c r="B348" s="34">
        <v>170210</v>
      </c>
      <c r="C348" s="67" t="s">
        <v>485</v>
      </c>
      <c r="D348" s="83">
        <v>170210306</v>
      </c>
      <c r="E348" s="34">
        <v>1</v>
      </c>
      <c r="F348" s="80" t="s">
        <v>515</v>
      </c>
      <c r="G348" s="80">
        <v>2</v>
      </c>
      <c r="H348" s="81" t="s">
        <v>1446</v>
      </c>
      <c r="I348" s="84">
        <v>230100</v>
      </c>
      <c r="J348" s="85" t="s">
        <v>1447</v>
      </c>
      <c r="K348" s="34" t="s">
        <v>1448</v>
      </c>
      <c r="L348" s="34"/>
      <c r="M348" s="34"/>
    </row>
    <row r="349" s="30" customFormat="1" customHeight="1" spans="1:13">
      <c r="A349" s="34">
        <v>42</v>
      </c>
      <c r="B349" s="34">
        <v>170210</v>
      </c>
      <c r="C349" s="67" t="s">
        <v>485</v>
      </c>
      <c r="D349" s="83">
        <v>170210309</v>
      </c>
      <c r="E349" s="34">
        <v>1</v>
      </c>
      <c r="F349" s="80" t="s">
        <v>516</v>
      </c>
      <c r="G349" s="80">
        <v>2</v>
      </c>
      <c r="H349" s="81" t="s">
        <v>945</v>
      </c>
      <c r="I349" s="84">
        <v>330600</v>
      </c>
      <c r="J349" s="85" t="s">
        <v>1449</v>
      </c>
      <c r="K349" s="34" t="s">
        <v>1450</v>
      </c>
      <c r="L349" s="34"/>
      <c r="M349" s="34"/>
    </row>
    <row r="350" s="30" customFormat="1" customHeight="1" spans="1:13">
      <c r="A350" s="34">
        <v>42</v>
      </c>
      <c r="B350" s="34">
        <v>170210</v>
      </c>
      <c r="C350" s="67" t="s">
        <v>485</v>
      </c>
      <c r="D350" s="83">
        <v>170210310</v>
      </c>
      <c r="E350" s="34">
        <v>1</v>
      </c>
      <c r="F350" s="80" t="s">
        <v>517</v>
      </c>
      <c r="G350" s="80">
        <v>2</v>
      </c>
      <c r="H350" s="81" t="s">
        <v>1392</v>
      </c>
      <c r="I350" s="84">
        <v>510100</v>
      </c>
      <c r="J350" s="85" t="s">
        <v>1451</v>
      </c>
      <c r="K350" s="86" t="s">
        <v>1452</v>
      </c>
      <c r="L350" s="34"/>
      <c r="M350" s="34"/>
    </row>
    <row r="351" s="30" customFormat="1" customHeight="1" spans="1:13">
      <c r="A351" s="34">
        <v>42</v>
      </c>
      <c r="B351" s="34">
        <v>170210</v>
      </c>
      <c r="C351" s="67" t="s">
        <v>485</v>
      </c>
      <c r="D351" s="83">
        <v>170210311</v>
      </c>
      <c r="E351" s="34">
        <v>1</v>
      </c>
      <c r="F351" s="80" t="s">
        <v>518</v>
      </c>
      <c r="G351" s="80">
        <v>2</v>
      </c>
      <c r="H351" s="82">
        <v>36200</v>
      </c>
      <c r="I351" s="84">
        <v>522500</v>
      </c>
      <c r="J351" s="85" t="s">
        <v>1453</v>
      </c>
      <c r="K351" s="86" t="s">
        <v>1454</v>
      </c>
      <c r="L351" s="34"/>
      <c r="M351" s="34"/>
    </row>
    <row r="352" s="30" customFormat="1" customHeight="1" spans="1:13">
      <c r="A352" s="34">
        <v>42</v>
      </c>
      <c r="B352" s="34">
        <v>170210</v>
      </c>
      <c r="C352" s="67" t="s">
        <v>485</v>
      </c>
      <c r="D352" s="83">
        <v>170210316</v>
      </c>
      <c r="E352" s="34">
        <v>1</v>
      </c>
      <c r="F352" s="80" t="s">
        <v>519</v>
      </c>
      <c r="G352" s="80">
        <v>2</v>
      </c>
      <c r="H352" s="81" t="s">
        <v>1455</v>
      </c>
      <c r="I352" s="84">
        <v>321000</v>
      </c>
      <c r="J352" s="85" t="s">
        <v>1456</v>
      </c>
      <c r="K352" s="34" t="s">
        <v>1457</v>
      </c>
      <c r="L352" s="34"/>
      <c r="M352" s="34"/>
    </row>
    <row r="353" s="30" customFormat="1" customHeight="1" spans="1:13">
      <c r="A353" s="34">
        <v>42</v>
      </c>
      <c r="B353" s="34">
        <v>170210</v>
      </c>
      <c r="C353" s="67" t="s">
        <v>485</v>
      </c>
      <c r="D353" s="83">
        <v>170210319</v>
      </c>
      <c r="E353" s="34">
        <v>1</v>
      </c>
      <c r="F353" s="80" t="s">
        <v>520</v>
      </c>
      <c r="G353" s="80">
        <v>1</v>
      </c>
      <c r="H353" s="81" t="s">
        <v>1458</v>
      </c>
      <c r="I353" s="84">
        <v>330900</v>
      </c>
      <c r="J353" s="85" t="s">
        <v>1459</v>
      </c>
      <c r="K353" s="86" t="s">
        <v>1460</v>
      </c>
      <c r="L353" s="34"/>
      <c r="M353" s="34"/>
    </row>
    <row r="354" s="30" customFormat="1" customHeight="1" spans="1:13">
      <c r="A354" s="34">
        <v>42</v>
      </c>
      <c r="B354" s="34">
        <v>170210</v>
      </c>
      <c r="C354" s="67" t="s">
        <v>485</v>
      </c>
      <c r="D354" s="83">
        <v>170210321</v>
      </c>
      <c r="E354" s="34">
        <v>1</v>
      </c>
      <c r="F354" s="80" t="s">
        <v>1461</v>
      </c>
      <c r="G354" s="80">
        <v>1</v>
      </c>
      <c r="H354" s="81" t="s">
        <v>1462</v>
      </c>
      <c r="I354" s="84">
        <v>341200</v>
      </c>
      <c r="J354" s="85" t="s">
        <v>1463</v>
      </c>
      <c r="K354" s="34" t="s">
        <v>1464</v>
      </c>
      <c r="L354" s="34"/>
      <c r="M354" s="34"/>
    </row>
    <row r="355" s="30" customFormat="1" customHeight="1" spans="1:13">
      <c r="A355" s="34">
        <v>42</v>
      </c>
      <c r="B355" s="34">
        <v>170210</v>
      </c>
      <c r="C355" s="67" t="s">
        <v>485</v>
      </c>
      <c r="D355" s="83">
        <v>170210323</v>
      </c>
      <c r="E355" s="34">
        <v>1</v>
      </c>
      <c r="F355" s="80" t="s">
        <v>522</v>
      </c>
      <c r="G355" s="80">
        <v>1</v>
      </c>
      <c r="H355" s="81" t="s">
        <v>1465</v>
      </c>
      <c r="I355" s="84">
        <v>310100</v>
      </c>
      <c r="J355" s="85" t="s">
        <v>1466</v>
      </c>
      <c r="K355" s="34" t="s">
        <v>1467</v>
      </c>
      <c r="L355" s="34"/>
      <c r="M355" s="34"/>
    </row>
    <row r="356" s="30" customFormat="1" customHeight="1" spans="1:13">
      <c r="A356" s="34">
        <v>42</v>
      </c>
      <c r="B356" s="34">
        <v>170210</v>
      </c>
      <c r="C356" s="67" t="s">
        <v>485</v>
      </c>
      <c r="D356" s="83">
        <v>170210324</v>
      </c>
      <c r="E356" s="34">
        <v>1</v>
      </c>
      <c r="F356" s="80" t="s">
        <v>523</v>
      </c>
      <c r="G356" s="80">
        <v>1</v>
      </c>
      <c r="H356" s="81" t="s">
        <v>1152</v>
      </c>
      <c r="I356" s="84">
        <v>320300</v>
      </c>
      <c r="J356" s="85" t="s">
        <v>1468</v>
      </c>
      <c r="K356" s="34" t="s">
        <v>1469</v>
      </c>
      <c r="L356" s="34"/>
      <c r="M356" s="34"/>
    </row>
    <row r="357" s="30" customFormat="1" customHeight="1" spans="1:13">
      <c r="A357" s="34">
        <v>42</v>
      </c>
      <c r="B357" s="34">
        <v>170210</v>
      </c>
      <c r="C357" s="67" t="s">
        <v>485</v>
      </c>
      <c r="D357" s="83">
        <v>170210331</v>
      </c>
      <c r="E357" s="34">
        <v>1</v>
      </c>
      <c r="F357" s="80" t="s">
        <v>524</v>
      </c>
      <c r="G357" s="80">
        <v>1</v>
      </c>
      <c r="H357" s="82">
        <v>36243</v>
      </c>
      <c r="I357" s="84">
        <v>320200</v>
      </c>
      <c r="J357" s="85" t="s">
        <v>1470</v>
      </c>
      <c r="K357" s="86" t="s">
        <v>1471</v>
      </c>
      <c r="L357" s="34"/>
      <c r="M357" s="34"/>
    </row>
    <row r="358" s="30" customFormat="1" customHeight="1" spans="1:13">
      <c r="A358" s="34">
        <v>42</v>
      </c>
      <c r="B358" s="34">
        <v>170210</v>
      </c>
      <c r="C358" s="67" t="s">
        <v>485</v>
      </c>
      <c r="D358" s="83">
        <v>170210335</v>
      </c>
      <c r="E358" s="34">
        <v>1</v>
      </c>
      <c r="F358" s="83" t="s">
        <v>525</v>
      </c>
      <c r="G358" s="80">
        <v>1</v>
      </c>
      <c r="H358" s="81" t="s">
        <v>1472</v>
      </c>
      <c r="I358" s="84">
        <v>320300</v>
      </c>
      <c r="J358" s="85" t="s">
        <v>1473</v>
      </c>
      <c r="K358" s="86" t="s">
        <v>1474</v>
      </c>
      <c r="L358" s="34"/>
      <c r="M358" s="34"/>
    </row>
    <row r="359" s="30" customFormat="1" customHeight="1" spans="1:13">
      <c r="A359" s="34">
        <v>42</v>
      </c>
      <c r="B359" s="34">
        <v>170210</v>
      </c>
      <c r="C359" s="67" t="s">
        <v>485</v>
      </c>
      <c r="D359" s="83">
        <v>170210336</v>
      </c>
      <c r="E359" s="34">
        <v>1</v>
      </c>
      <c r="F359" s="83" t="s">
        <v>526</v>
      </c>
      <c r="G359" s="80">
        <v>1</v>
      </c>
      <c r="H359" s="81" t="s">
        <v>1475</v>
      </c>
      <c r="I359" s="84">
        <v>511100</v>
      </c>
      <c r="J359" s="85" t="s">
        <v>1476</v>
      </c>
      <c r="K359" s="34" t="s">
        <v>1477</v>
      </c>
      <c r="L359" s="34"/>
      <c r="M359" s="34"/>
    </row>
    <row r="360" s="30" customFormat="1" customHeight="1" spans="1:13">
      <c r="A360" s="34">
        <v>42</v>
      </c>
      <c r="B360" s="34">
        <v>170210</v>
      </c>
      <c r="C360" s="67" t="s">
        <v>485</v>
      </c>
      <c r="D360" s="83">
        <v>170210337</v>
      </c>
      <c r="E360" s="34">
        <v>1</v>
      </c>
      <c r="F360" s="83" t="s">
        <v>527</v>
      </c>
      <c r="G360" s="80">
        <v>1</v>
      </c>
      <c r="H360" s="81" t="s">
        <v>910</v>
      </c>
      <c r="I360" s="84">
        <v>330300</v>
      </c>
      <c r="J360" s="85" t="s">
        <v>1478</v>
      </c>
      <c r="K360" s="86" t="s">
        <v>1170</v>
      </c>
      <c r="L360" s="34"/>
      <c r="M360" s="34"/>
    </row>
    <row r="361" s="30" customFormat="1" customHeight="1" spans="1:13">
      <c r="A361" s="34">
        <v>42</v>
      </c>
      <c r="B361" s="34">
        <v>170210</v>
      </c>
      <c r="C361" s="67" t="s">
        <v>485</v>
      </c>
      <c r="D361" s="83">
        <v>170210340</v>
      </c>
      <c r="E361" s="34">
        <v>1</v>
      </c>
      <c r="F361" s="83" t="s">
        <v>528</v>
      </c>
      <c r="G361" s="80">
        <v>1</v>
      </c>
      <c r="H361" s="81" t="s">
        <v>1479</v>
      </c>
      <c r="I361" s="139" t="s">
        <v>542</v>
      </c>
      <c r="J361" s="85" t="s">
        <v>1480</v>
      </c>
      <c r="K361" s="86" t="s">
        <v>1481</v>
      </c>
      <c r="L361" s="34"/>
      <c r="M361" s="34"/>
    </row>
    <row r="362" s="30" customFormat="1" customHeight="1" spans="1:13">
      <c r="A362" s="34">
        <v>42</v>
      </c>
      <c r="B362" s="34">
        <v>170210</v>
      </c>
      <c r="C362" s="67" t="s">
        <v>485</v>
      </c>
      <c r="D362" s="83">
        <v>170210350</v>
      </c>
      <c r="E362" s="34">
        <v>1</v>
      </c>
      <c r="F362" s="83" t="s">
        <v>529</v>
      </c>
      <c r="G362" s="80">
        <v>1</v>
      </c>
      <c r="H362" s="81" t="s">
        <v>1482</v>
      </c>
      <c r="I362" s="84">
        <v>320100</v>
      </c>
      <c r="J362" s="85" t="s">
        <v>1483</v>
      </c>
      <c r="K362" s="86" t="s">
        <v>1484</v>
      </c>
      <c r="L362" s="34"/>
      <c r="M362" s="34"/>
    </row>
    <row r="363" s="30" customFormat="1" customHeight="1" spans="1:13">
      <c r="A363" s="34">
        <v>42</v>
      </c>
      <c r="B363" s="34">
        <v>170210</v>
      </c>
      <c r="C363" s="67" t="s">
        <v>485</v>
      </c>
      <c r="D363" s="83">
        <v>170210354</v>
      </c>
      <c r="E363" s="34">
        <v>1</v>
      </c>
      <c r="F363" s="83" t="s">
        <v>530</v>
      </c>
      <c r="G363" s="80">
        <v>1</v>
      </c>
      <c r="H363" s="81" t="s">
        <v>1485</v>
      </c>
      <c r="I363" s="139" t="s">
        <v>547</v>
      </c>
      <c r="J363" s="85" t="s">
        <v>1486</v>
      </c>
      <c r="K363" s="86" t="s">
        <v>1487</v>
      </c>
      <c r="L363" s="34"/>
      <c r="M363" s="34"/>
    </row>
    <row r="364" s="30" customFormat="1" customHeight="1" spans="1:13">
      <c r="A364" s="34">
        <v>42</v>
      </c>
      <c r="B364" s="34">
        <v>170210</v>
      </c>
      <c r="C364" s="67" t="s">
        <v>485</v>
      </c>
      <c r="D364" s="83">
        <v>170210355</v>
      </c>
      <c r="E364" s="34">
        <v>1</v>
      </c>
      <c r="F364" s="83" t="s">
        <v>531</v>
      </c>
      <c r="G364" s="80">
        <v>1</v>
      </c>
      <c r="H364" s="81" t="s">
        <v>1488</v>
      </c>
      <c r="I364" s="84">
        <v>320400</v>
      </c>
      <c r="J364" s="85" t="s">
        <v>1489</v>
      </c>
      <c r="K364" s="86" t="s">
        <v>1490</v>
      </c>
      <c r="L364" s="34"/>
      <c r="M364" s="34"/>
    </row>
    <row r="365" s="30" customFormat="1" customHeight="1" spans="1:13">
      <c r="A365" s="34">
        <v>42</v>
      </c>
      <c r="B365" s="34">
        <v>170210</v>
      </c>
      <c r="C365" s="67" t="s">
        <v>485</v>
      </c>
      <c r="D365" s="83">
        <v>170210179</v>
      </c>
      <c r="E365" s="34">
        <v>1</v>
      </c>
      <c r="F365" s="80" t="s">
        <v>532</v>
      </c>
      <c r="G365" s="80">
        <v>1</v>
      </c>
      <c r="H365" s="81" t="s">
        <v>1491</v>
      </c>
      <c r="I365" s="84">
        <v>511300</v>
      </c>
      <c r="J365" s="127" t="s">
        <v>1492</v>
      </c>
      <c r="K365" s="34" t="s">
        <v>1493</v>
      </c>
      <c r="L365" s="34"/>
      <c r="M365" s="34"/>
    </row>
  </sheetData>
  <mergeCells count="1">
    <mergeCell ref="K222:M222"/>
  </mergeCells>
  <pageMargins left="0.75" right="0.75" top="1" bottom="1" header="0.511805555555556" footer="0.511805555555556"/>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
  <sheetViews>
    <sheetView workbookViewId="0">
      <selection activeCell="F7" sqref="F7"/>
    </sheetView>
  </sheetViews>
  <sheetFormatPr defaultColWidth="9" defaultRowHeight="13.5"/>
  <cols>
    <col min="1" max="1" width="9" style="14"/>
    <col min="2" max="2" width="12.25" style="14"/>
    <col min="3" max="3" width="27" style="14" customWidth="1"/>
    <col min="4" max="4" width="15.625" style="14"/>
    <col min="5" max="5" width="9" style="14"/>
    <col min="6" max="6" width="14.125" style="14" customWidth="1"/>
    <col min="7" max="7" width="9" style="14"/>
    <col min="8" max="8" width="17.375" style="14"/>
    <col min="9" max="9" width="27" style="15" customWidth="1"/>
    <col min="10" max="10" width="25.75" style="14" customWidth="1"/>
    <col min="11" max="11" width="65.875" style="15" customWidth="1"/>
    <col min="12" max="16384" width="9" style="14"/>
  </cols>
  <sheetData>
    <row r="1" s="10" customFormat="1" ht="26" customHeight="1" spans="2:11">
      <c r="B1" s="16" t="s">
        <v>1</v>
      </c>
      <c r="C1" s="16" t="s">
        <v>533</v>
      </c>
      <c r="D1" s="16" t="s">
        <v>534</v>
      </c>
      <c r="E1" s="16" t="s">
        <v>4</v>
      </c>
      <c r="F1" s="16" t="s">
        <v>5</v>
      </c>
      <c r="G1" s="16" t="s">
        <v>6</v>
      </c>
      <c r="H1" s="16" t="s">
        <v>535</v>
      </c>
      <c r="I1" s="16" t="s">
        <v>536</v>
      </c>
      <c r="J1" s="16" t="s">
        <v>537</v>
      </c>
      <c r="K1" s="16" t="s">
        <v>538</v>
      </c>
    </row>
    <row r="2" s="11" customFormat="1" spans="1:11">
      <c r="A2" s="17">
        <v>42</v>
      </c>
      <c r="B2" s="17">
        <v>1705103</v>
      </c>
      <c r="C2" s="17" t="s">
        <v>142</v>
      </c>
      <c r="D2" s="17">
        <v>170510340</v>
      </c>
      <c r="E2" s="17">
        <v>1</v>
      </c>
      <c r="F2" s="17" t="s">
        <v>1494</v>
      </c>
      <c r="G2" s="17">
        <v>2</v>
      </c>
      <c r="H2" s="18">
        <v>35729</v>
      </c>
      <c r="I2" s="17" t="str">
        <f>MID(J2,1,6)</f>
        <v>331002</v>
      </c>
      <c r="J2" s="26" t="s">
        <v>1495</v>
      </c>
      <c r="K2" s="17" t="s">
        <v>1496</v>
      </c>
    </row>
    <row r="3" s="12" customFormat="1" ht="14.25" spans="1:14">
      <c r="A3" s="19"/>
      <c r="B3" s="20">
        <v>1705301</v>
      </c>
      <c r="C3" s="21" t="s">
        <v>833</v>
      </c>
      <c r="D3" s="20">
        <v>170530153</v>
      </c>
      <c r="E3" s="20">
        <v>1</v>
      </c>
      <c r="F3" s="21" t="s">
        <v>1497</v>
      </c>
      <c r="G3" s="20">
        <v>1</v>
      </c>
      <c r="H3" s="21" t="s">
        <v>1498</v>
      </c>
      <c r="I3" s="20">
        <v>330482</v>
      </c>
      <c r="J3" s="21" t="s">
        <v>1499</v>
      </c>
      <c r="K3" s="21" t="s">
        <v>1500</v>
      </c>
      <c r="L3" s="27"/>
      <c r="M3" s="27"/>
      <c r="N3" s="27"/>
    </row>
    <row r="4" s="12" customFormat="1" ht="14.25" spans="1:14">
      <c r="A4" s="19"/>
      <c r="B4" s="20">
        <v>1705301</v>
      </c>
      <c r="C4" s="21" t="s">
        <v>833</v>
      </c>
      <c r="D4" s="20">
        <v>170530143</v>
      </c>
      <c r="E4" s="20">
        <v>1</v>
      </c>
      <c r="F4" s="21" t="s">
        <v>372</v>
      </c>
      <c r="G4" s="20">
        <v>1</v>
      </c>
      <c r="H4" s="21" t="s">
        <v>1501</v>
      </c>
      <c r="I4" s="20">
        <v>513122</v>
      </c>
      <c r="J4" s="21" t="s">
        <v>1283</v>
      </c>
      <c r="K4" s="21" t="s">
        <v>1502</v>
      </c>
      <c r="L4" s="27"/>
      <c r="M4" s="27"/>
      <c r="N4" s="27"/>
    </row>
    <row r="5" s="12" customFormat="1" ht="14.25" spans="1:14">
      <c r="A5" s="19"/>
      <c r="B5" s="20">
        <v>1705301</v>
      </c>
      <c r="C5" s="21" t="s">
        <v>833</v>
      </c>
      <c r="D5" s="20">
        <v>170530108</v>
      </c>
      <c r="E5" s="20">
        <v>1</v>
      </c>
      <c r="F5" s="21" t="s">
        <v>1503</v>
      </c>
      <c r="G5" s="20">
        <v>2</v>
      </c>
      <c r="H5" s="21" t="s">
        <v>1504</v>
      </c>
      <c r="I5" s="20">
        <v>440782</v>
      </c>
      <c r="J5" s="21" t="s">
        <v>1505</v>
      </c>
      <c r="K5" s="21" t="s">
        <v>1506</v>
      </c>
      <c r="L5" s="27"/>
      <c r="M5" s="27"/>
      <c r="N5" s="27"/>
    </row>
    <row r="6" s="12" customFormat="1" ht="14.25" spans="1:14">
      <c r="A6" s="19"/>
      <c r="B6" s="20">
        <v>1705301</v>
      </c>
      <c r="C6" s="21" t="s">
        <v>833</v>
      </c>
      <c r="D6" s="20">
        <v>170530109</v>
      </c>
      <c r="E6" s="20">
        <v>1</v>
      </c>
      <c r="F6" s="21" t="s">
        <v>370</v>
      </c>
      <c r="G6" s="20">
        <v>2</v>
      </c>
      <c r="H6" s="21" t="s">
        <v>1507</v>
      </c>
      <c r="I6" s="20">
        <v>410102</v>
      </c>
      <c r="J6" s="21" t="s">
        <v>1279</v>
      </c>
      <c r="K6" s="21" t="s">
        <v>1508</v>
      </c>
      <c r="L6" s="27"/>
      <c r="M6" s="27"/>
      <c r="N6" s="27"/>
    </row>
    <row r="7" s="12" customFormat="1" ht="14.25" spans="1:14">
      <c r="A7" s="19"/>
      <c r="B7" s="20">
        <v>1705301</v>
      </c>
      <c r="C7" s="21" t="s">
        <v>833</v>
      </c>
      <c r="D7" s="20">
        <v>170530118</v>
      </c>
      <c r="E7" s="20">
        <v>1</v>
      </c>
      <c r="F7" s="21" t="s">
        <v>371</v>
      </c>
      <c r="G7" s="20">
        <v>2</v>
      </c>
      <c r="H7" s="21" t="s">
        <v>1509</v>
      </c>
      <c r="I7" s="20">
        <v>441827</v>
      </c>
      <c r="J7" s="21" t="s">
        <v>1281</v>
      </c>
      <c r="K7" s="21" t="s">
        <v>1510</v>
      </c>
      <c r="L7" s="27"/>
      <c r="M7" s="27"/>
      <c r="N7" s="27"/>
    </row>
    <row r="8" s="13" customFormat="1" ht="15.75" spans="2:11">
      <c r="B8" s="19">
        <v>1705202</v>
      </c>
      <c r="C8" s="19" t="s">
        <v>1511</v>
      </c>
      <c r="D8" s="22">
        <v>170520219</v>
      </c>
      <c r="E8" s="19">
        <v>1</v>
      </c>
      <c r="F8" s="23" t="s">
        <v>1512</v>
      </c>
      <c r="G8" s="19">
        <v>2</v>
      </c>
      <c r="H8" s="24">
        <v>35752</v>
      </c>
      <c r="I8" s="28" t="str">
        <f t="shared" ref="I8:I13" si="0">MID(J8,1,6)</f>
        <v>510131</v>
      </c>
      <c r="J8" s="29" t="s">
        <v>1513</v>
      </c>
      <c r="K8" s="29" t="s">
        <v>1514</v>
      </c>
    </row>
    <row r="9" s="13" customFormat="1" ht="15.75" spans="2:11">
      <c r="B9" s="19">
        <v>1705202</v>
      </c>
      <c r="C9" s="19" t="s">
        <v>1511</v>
      </c>
      <c r="D9" s="22">
        <v>170520220</v>
      </c>
      <c r="E9" s="19">
        <v>1</v>
      </c>
      <c r="F9" s="23" t="s">
        <v>1515</v>
      </c>
      <c r="G9" s="19">
        <v>2</v>
      </c>
      <c r="H9" s="24">
        <v>36100</v>
      </c>
      <c r="I9" s="28" t="str">
        <f t="shared" si="0"/>
        <v>320581</v>
      </c>
      <c r="J9" s="29" t="s">
        <v>1516</v>
      </c>
      <c r="K9" s="29" t="s">
        <v>1517</v>
      </c>
    </row>
    <row r="10" s="13" customFormat="1" ht="15.75" spans="2:11">
      <c r="B10" s="19">
        <v>1705202</v>
      </c>
      <c r="C10" s="19" t="s">
        <v>1511</v>
      </c>
      <c r="D10" s="22">
        <v>170520224</v>
      </c>
      <c r="E10" s="19">
        <v>1</v>
      </c>
      <c r="F10" s="23" t="s">
        <v>1518</v>
      </c>
      <c r="G10" s="19">
        <v>2</v>
      </c>
      <c r="H10" s="25">
        <v>36131</v>
      </c>
      <c r="I10" s="28" t="str">
        <f t="shared" si="0"/>
        <v>440784</v>
      </c>
      <c r="J10" s="29" t="s">
        <v>1519</v>
      </c>
      <c r="K10" s="29" t="s">
        <v>1520</v>
      </c>
    </row>
    <row r="11" s="13" customFormat="1" ht="15.75" spans="2:11">
      <c r="B11" s="19">
        <v>1705202</v>
      </c>
      <c r="C11" s="19" t="s">
        <v>1511</v>
      </c>
      <c r="D11" s="22">
        <v>170520242</v>
      </c>
      <c r="E11" s="19">
        <v>1</v>
      </c>
      <c r="F11" s="23" t="s">
        <v>1521</v>
      </c>
      <c r="G11" s="19">
        <v>2</v>
      </c>
      <c r="H11" s="25">
        <v>36068</v>
      </c>
      <c r="I11" s="28" t="str">
        <f t="shared" si="0"/>
        <v>220623</v>
      </c>
      <c r="J11" s="29" t="s">
        <v>1522</v>
      </c>
      <c r="K11" s="29" t="s">
        <v>1523</v>
      </c>
    </row>
    <row r="12" s="13" customFormat="1" ht="15.75" spans="2:11">
      <c r="B12" s="19">
        <v>1705202</v>
      </c>
      <c r="C12" s="19" t="s">
        <v>1511</v>
      </c>
      <c r="D12" s="22">
        <v>170520243</v>
      </c>
      <c r="E12" s="19">
        <v>1</v>
      </c>
      <c r="F12" s="23" t="s">
        <v>1524</v>
      </c>
      <c r="G12" s="19">
        <v>2</v>
      </c>
      <c r="H12" s="25">
        <v>36361</v>
      </c>
      <c r="I12" s="28" t="str">
        <f t="shared" si="0"/>
        <v>513101</v>
      </c>
      <c r="J12" s="29" t="s">
        <v>1525</v>
      </c>
      <c r="K12" s="29" t="s">
        <v>1526</v>
      </c>
    </row>
    <row r="13" s="13" customFormat="1" ht="15.75" spans="2:11">
      <c r="B13" s="19">
        <v>1705202</v>
      </c>
      <c r="C13" s="19" t="s">
        <v>1511</v>
      </c>
      <c r="D13" s="22">
        <v>170520252</v>
      </c>
      <c r="E13" s="19">
        <v>1</v>
      </c>
      <c r="F13" s="23" t="s">
        <v>1527</v>
      </c>
      <c r="G13" s="19">
        <v>1</v>
      </c>
      <c r="H13" s="25">
        <v>36328</v>
      </c>
      <c r="I13" s="28" t="str">
        <f t="shared" si="0"/>
        <v>420621</v>
      </c>
      <c r="J13" s="29" t="s">
        <v>1528</v>
      </c>
      <c r="K13" s="29" t="s">
        <v>1529</v>
      </c>
    </row>
  </sheetData>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7"/>
  <sheetViews>
    <sheetView workbookViewId="0">
      <selection activeCell="D13" sqref="D13"/>
    </sheetView>
  </sheetViews>
  <sheetFormatPr defaultColWidth="9" defaultRowHeight="14.25"/>
  <cols>
    <col min="1" max="2" width="11.625" style="1"/>
    <col min="3" max="3" width="13.125" style="1" customWidth="1"/>
    <col min="4" max="4" width="19.75" style="1" customWidth="1"/>
    <col min="5" max="5" width="9" style="1"/>
    <col min="6" max="6" width="20.125" style="1" customWidth="1"/>
    <col min="7" max="7" width="9" style="1"/>
    <col min="8" max="8" width="25.25" style="1" customWidth="1"/>
    <col min="9" max="16384" width="9" style="1"/>
  </cols>
  <sheetData>
    <row r="1" s="1" customFormat="1" ht="15" spans="1:9">
      <c r="A1" s="2" t="s">
        <v>1530</v>
      </c>
      <c r="B1" s="2" t="s">
        <v>1531</v>
      </c>
      <c r="C1" s="2" t="s">
        <v>533</v>
      </c>
      <c r="D1" s="2" t="s">
        <v>1532</v>
      </c>
      <c r="E1" s="2" t="s">
        <v>1533</v>
      </c>
      <c r="F1" s="2" t="s">
        <v>1534</v>
      </c>
      <c r="G1" s="2" t="s">
        <v>1535</v>
      </c>
      <c r="H1" s="2" t="s">
        <v>1536</v>
      </c>
      <c r="I1" s="2" t="s">
        <v>1537</v>
      </c>
    </row>
    <row r="2" s="1" customFormat="1" spans="1:9">
      <c r="A2" s="3" t="s">
        <v>1538</v>
      </c>
      <c r="B2" s="4">
        <v>1705101</v>
      </c>
      <c r="C2" s="4" t="s">
        <v>17</v>
      </c>
      <c r="D2" s="3" t="s">
        <v>1539</v>
      </c>
      <c r="E2" s="3" t="s">
        <v>1540</v>
      </c>
      <c r="F2" s="3" t="s">
        <v>1541</v>
      </c>
      <c r="G2" s="3" t="s">
        <v>1542</v>
      </c>
      <c r="H2" s="3" t="s">
        <v>1543</v>
      </c>
      <c r="I2" s="3" t="s">
        <v>1544</v>
      </c>
    </row>
    <row r="3" s="1" customFormat="1" spans="1:9">
      <c r="A3" s="3"/>
      <c r="D3" s="3" t="s">
        <v>12</v>
      </c>
      <c r="E3" s="3" t="s">
        <v>1540</v>
      </c>
      <c r="F3" s="3" t="s">
        <v>1541</v>
      </c>
      <c r="G3" s="3" t="s">
        <v>1542</v>
      </c>
      <c r="H3" s="3" t="s">
        <v>1545</v>
      </c>
      <c r="I3" s="3" t="s">
        <v>1544</v>
      </c>
    </row>
    <row r="4" s="1" customFormat="1" spans="1:9">
      <c r="A4" s="3"/>
      <c r="D4" s="3" t="s">
        <v>1546</v>
      </c>
      <c r="E4" s="3" t="s">
        <v>1540</v>
      </c>
      <c r="F4" s="3" t="s">
        <v>1541</v>
      </c>
      <c r="G4" s="3" t="s">
        <v>1542</v>
      </c>
      <c r="H4" s="3" t="s">
        <v>1547</v>
      </c>
      <c r="I4" s="3" t="s">
        <v>1544</v>
      </c>
    </row>
    <row r="5" s="1" customFormat="1" spans="4:9">
      <c r="D5" s="3" t="s">
        <v>1548</v>
      </c>
      <c r="E5" s="3" t="s">
        <v>1540</v>
      </c>
      <c r="F5" s="3" t="s">
        <v>1541</v>
      </c>
      <c r="G5" s="3" t="s">
        <v>1549</v>
      </c>
      <c r="H5" s="3" t="s">
        <v>1550</v>
      </c>
      <c r="I5" s="3" t="s">
        <v>1551</v>
      </c>
    </row>
    <row r="6" s="1" customFormat="1" spans="1:9">
      <c r="A6" s="3"/>
      <c r="D6" s="3" t="s">
        <v>10</v>
      </c>
      <c r="E6" s="3" t="s">
        <v>1540</v>
      </c>
      <c r="F6" s="3" t="s">
        <v>1541</v>
      </c>
      <c r="G6" s="3" t="s">
        <v>1549</v>
      </c>
      <c r="H6" s="3" t="s">
        <v>1552</v>
      </c>
      <c r="I6" s="3" t="s">
        <v>1551</v>
      </c>
    </row>
    <row r="7" s="1" customFormat="1" spans="4:9">
      <c r="D7" s="3" t="s">
        <v>9</v>
      </c>
      <c r="E7" s="3" t="s">
        <v>1540</v>
      </c>
      <c r="F7" s="3" t="s">
        <v>1541</v>
      </c>
      <c r="G7" s="3" t="s">
        <v>1549</v>
      </c>
      <c r="H7" s="3" t="s">
        <v>1553</v>
      </c>
      <c r="I7" s="3" t="s">
        <v>1551</v>
      </c>
    </row>
    <row r="8" s="1" customFormat="1" spans="4:9">
      <c r="D8" s="3" t="s">
        <v>1554</v>
      </c>
      <c r="E8" s="3" t="s">
        <v>1540</v>
      </c>
      <c r="F8" s="3" t="s">
        <v>1555</v>
      </c>
      <c r="G8" s="3" t="s">
        <v>1542</v>
      </c>
      <c r="H8" s="3" t="s">
        <v>1543</v>
      </c>
      <c r="I8" s="3" t="s">
        <v>1544</v>
      </c>
    </row>
    <row r="9" s="1" customFormat="1" spans="1:9">
      <c r="A9" s="3"/>
      <c r="B9" s="4">
        <v>1705102</v>
      </c>
      <c r="C9" s="4" t="s">
        <v>86</v>
      </c>
      <c r="D9" s="3" t="s">
        <v>1539</v>
      </c>
      <c r="E9" s="3" t="s">
        <v>1540</v>
      </c>
      <c r="F9" s="3" t="s">
        <v>1541</v>
      </c>
      <c r="G9" s="3" t="s">
        <v>1542</v>
      </c>
      <c r="H9" s="3" t="s">
        <v>1543</v>
      </c>
      <c r="I9" s="3" t="s">
        <v>1544</v>
      </c>
    </row>
    <row r="10" s="1" customFormat="1" spans="1:9">
      <c r="A10" s="3"/>
      <c r="D10" s="3" t="s">
        <v>12</v>
      </c>
      <c r="E10" s="3" t="s">
        <v>1540</v>
      </c>
      <c r="F10" s="3" t="s">
        <v>1541</v>
      </c>
      <c r="G10" s="3" t="s">
        <v>1542</v>
      </c>
      <c r="H10" s="3" t="s">
        <v>1545</v>
      </c>
      <c r="I10" s="3" t="s">
        <v>1544</v>
      </c>
    </row>
    <row r="11" s="1" customFormat="1" spans="1:9">
      <c r="A11" s="3"/>
      <c r="D11" s="3" t="s">
        <v>1546</v>
      </c>
      <c r="E11" s="3" t="s">
        <v>1540</v>
      </c>
      <c r="F11" s="3" t="s">
        <v>1541</v>
      </c>
      <c r="G11" s="3" t="s">
        <v>1542</v>
      </c>
      <c r="H11" s="3" t="s">
        <v>1547</v>
      </c>
      <c r="I11" s="3" t="s">
        <v>1544</v>
      </c>
    </row>
    <row r="12" s="1" customFormat="1" spans="1:9">
      <c r="A12" s="3"/>
      <c r="D12" s="3" t="s">
        <v>1548</v>
      </c>
      <c r="E12" s="3" t="s">
        <v>1540</v>
      </c>
      <c r="F12" s="3" t="s">
        <v>1541</v>
      </c>
      <c r="G12" s="3" t="s">
        <v>1549</v>
      </c>
      <c r="H12" s="3" t="s">
        <v>1550</v>
      </c>
      <c r="I12" s="3" t="s">
        <v>1551</v>
      </c>
    </row>
    <row r="13" s="1" customFormat="1" spans="1:9">
      <c r="A13" s="3"/>
      <c r="D13" s="3" t="s">
        <v>10</v>
      </c>
      <c r="E13" s="3" t="s">
        <v>1540</v>
      </c>
      <c r="F13" s="3" t="s">
        <v>1541</v>
      </c>
      <c r="G13" s="3" t="s">
        <v>1549</v>
      </c>
      <c r="H13" s="3" t="s">
        <v>1552</v>
      </c>
      <c r="I13" s="3" t="s">
        <v>1551</v>
      </c>
    </row>
    <row r="14" s="1" customFormat="1" spans="1:9">
      <c r="A14" s="3"/>
      <c r="D14" s="3" t="s">
        <v>9</v>
      </c>
      <c r="E14" s="3" t="s">
        <v>1540</v>
      </c>
      <c r="F14" s="3" t="s">
        <v>1541</v>
      </c>
      <c r="G14" s="3" t="s">
        <v>1549</v>
      </c>
      <c r="H14" s="3" t="s">
        <v>1553</v>
      </c>
      <c r="I14" s="3" t="s">
        <v>1551</v>
      </c>
    </row>
    <row r="15" s="1" customFormat="1" spans="1:9">
      <c r="A15" s="3"/>
      <c r="D15" s="3" t="s">
        <v>1554</v>
      </c>
      <c r="E15" s="3" t="s">
        <v>1540</v>
      </c>
      <c r="F15" s="3" t="s">
        <v>1555</v>
      </c>
      <c r="G15" s="3" t="s">
        <v>1542</v>
      </c>
      <c r="H15" s="3" t="s">
        <v>1543</v>
      </c>
      <c r="I15" s="3" t="s">
        <v>1544</v>
      </c>
    </row>
    <row r="16" s="1" customFormat="1" spans="1:9">
      <c r="A16" s="3"/>
      <c r="B16" s="4">
        <v>1705103</v>
      </c>
      <c r="C16" s="4" t="s">
        <v>142</v>
      </c>
      <c r="D16" s="3" t="s">
        <v>1539</v>
      </c>
      <c r="E16" s="3" t="s">
        <v>1540</v>
      </c>
      <c r="F16" s="3" t="s">
        <v>1556</v>
      </c>
      <c r="G16" s="3" t="s">
        <v>1542</v>
      </c>
      <c r="H16" s="3" t="s">
        <v>1543</v>
      </c>
      <c r="I16" s="3" t="s">
        <v>1544</v>
      </c>
    </row>
    <row r="17" s="1" customFormat="1" spans="4:9">
      <c r="D17" s="3" t="s">
        <v>12</v>
      </c>
      <c r="E17" s="3" t="s">
        <v>1540</v>
      </c>
      <c r="F17" s="3" t="s">
        <v>1556</v>
      </c>
      <c r="G17" s="3" t="s">
        <v>1542</v>
      </c>
      <c r="H17" s="3" t="s">
        <v>1545</v>
      </c>
      <c r="I17" s="3" t="s">
        <v>1544</v>
      </c>
    </row>
    <row r="18" s="1" customFormat="1" spans="4:9">
      <c r="D18" s="3" t="s">
        <v>1546</v>
      </c>
      <c r="E18" s="3" t="s">
        <v>1540</v>
      </c>
      <c r="F18" s="3" t="s">
        <v>1556</v>
      </c>
      <c r="G18" s="3" t="s">
        <v>1542</v>
      </c>
      <c r="H18" s="3" t="s">
        <v>1547</v>
      </c>
      <c r="I18" s="3" t="s">
        <v>1544</v>
      </c>
    </row>
    <row r="19" s="1" customFormat="1" spans="4:9">
      <c r="D19" s="3" t="s">
        <v>1548</v>
      </c>
      <c r="E19" s="3" t="s">
        <v>1540</v>
      </c>
      <c r="F19" s="3" t="s">
        <v>1556</v>
      </c>
      <c r="G19" s="3" t="s">
        <v>1549</v>
      </c>
      <c r="H19" s="3" t="s">
        <v>1550</v>
      </c>
      <c r="I19" s="3" t="s">
        <v>1551</v>
      </c>
    </row>
    <row r="20" s="1" customFormat="1" spans="4:9">
      <c r="D20" s="3" t="s">
        <v>10</v>
      </c>
      <c r="E20" s="3" t="s">
        <v>1540</v>
      </c>
      <c r="F20" s="3" t="s">
        <v>1556</v>
      </c>
      <c r="G20" s="3" t="s">
        <v>1549</v>
      </c>
      <c r="H20" s="3" t="s">
        <v>1552</v>
      </c>
      <c r="I20" s="3" t="s">
        <v>1551</v>
      </c>
    </row>
    <row r="21" s="1" customFormat="1" spans="4:9">
      <c r="D21" s="3" t="s">
        <v>9</v>
      </c>
      <c r="E21" s="3" t="s">
        <v>1540</v>
      </c>
      <c r="F21" s="3" t="s">
        <v>1556</v>
      </c>
      <c r="G21" s="3" t="s">
        <v>1549</v>
      </c>
      <c r="H21" s="3" t="s">
        <v>1553</v>
      </c>
      <c r="I21" s="3" t="s">
        <v>1551</v>
      </c>
    </row>
    <row r="22" s="1" customFormat="1" spans="2:9">
      <c r="B22" s="3"/>
      <c r="C22" s="3"/>
      <c r="D22" s="3" t="s">
        <v>1554</v>
      </c>
      <c r="E22" s="3" t="s">
        <v>1540</v>
      </c>
      <c r="F22" s="3" t="s">
        <v>1555</v>
      </c>
      <c r="G22" s="3" t="s">
        <v>1542</v>
      </c>
      <c r="H22" s="3" t="s">
        <v>1543</v>
      </c>
      <c r="I22" s="3" t="s">
        <v>1544</v>
      </c>
    </row>
    <row r="23" s="1" customFormat="1" spans="2:9">
      <c r="B23" s="5">
        <v>1705301</v>
      </c>
      <c r="C23" s="5" t="s">
        <v>1557</v>
      </c>
      <c r="D23" s="3" t="s">
        <v>1539</v>
      </c>
      <c r="E23" s="3" t="s">
        <v>1540</v>
      </c>
      <c r="F23" s="3" t="s">
        <v>1556</v>
      </c>
      <c r="G23" s="3" t="s">
        <v>1542</v>
      </c>
      <c r="H23" s="3" t="s">
        <v>1543</v>
      </c>
      <c r="I23" s="3" t="s">
        <v>1544</v>
      </c>
    </row>
    <row r="24" s="1" customFormat="1" spans="4:9">
      <c r="D24" s="3" t="s">
        <v>12</v>
      </c>
      <c r="E24" s="3" t="s">
        <v>1540</v>
      </c>
      <c r="F24" s="3" t="s">
        <v>1556</v>
      </c>
      <c r="G24" s="3" t="s">
        <v>1542</v>
      </c>
      <c r="H24" s="3" t="s">
        <v>1545</v>
      </c>
      <c r="I24" s="3" t="s">
        <v>1544</v>
      </c>
    </row>
    <row r="25" s="1" customFormat="1" spans="4:9">
      <c r="D25" s="3" t="s">
        <v>1546</v>
      </c>
      <c r="E25" s="3" t="s">
        <v>1540</v>
      </c>
      <c r="F25" s="3" t="s">
        <v>1556</v>
      </c>
      <c r="G25" s="3" t="s">
        <v>1542</v>
      </c>
      <c r="H25" s="3" t="s">
        <v>1547</v>
      </c>
      <c r="I25" s="3" t="s">
        <v>1544</v>
      </c>
    </row>
    <row r="26" s="1" customFormat="1" spans="4:9">
      <c r="D26" s="3" t="s">
        <v>1548</v>
      </c>
      <c r="E26" s="3" t="s">
        <v>1540</v>
      </c>
      <c r="F26" s="3" t="s">
        <v>1556</v>
      </c>
      <c r="G26" s="3" t="s">
        <v>1549</v>
      </c>
      <c r="H26" s="3" t="s">
        <v>1550</v>
      </c>
      <c r="I26" s="3" t="s">
        <v>1551</v>
      </c>
    </row>
    <row r="27" s="1" customFormat="1" spans="4:9">
      <c r="D27" s="3" t="s">
        <v>10</v>
      </c>
      <c r="E27" s="3" t="s">
        <v>1540</v>
      </c>
      <c r="F27" s="3" t="s">
        <v>1556</v>
      </c>
      <c r="G27" s="3" t="s">
        <v>1549</v>
      </c>
      <c r="H27" s="3" t="s">
        <v>1552</v>
      </c>
      <c r="I27" s="3" t="s">
        <v>1551</v>
      </c>
    </row>
    <row r="28" s="1" customFormat="1" spans="2:9">
      <c r="B28" s="3"/>
      <c r="C28" s="3"/>
      <c r="D28" s="3" t="s">
        <v>9</v>
      </c>
      <c r="E28" s="3" t="s">
        <v>1540</v>
      </c>
      <c r="F28" s="3" t="s">
        <v>1556</v>
      </c>
      <c r="G28" s="3" t="s">
        <v>1549</v>
      </c>
      <c r="H28" s="3" t="s">
        <v>1553</v>
      </c>
      <c r="I28" s="3" t="s">
        <v>1551</v>
      </c>
    </row>
    <row r="29" s="1" customFormat="1" spans="2:9">
      <c r="B29" s="3"/>
      <c r="C29" s="3"/>
      <c r="D29" s="3" t="s">
        <v>1554</v>
      </c>
      <c r="E29" s="3" t="s">
        <v>1540</v>
      </c>
      <c r="F29" s="3" t="s">
        <v>1555</v>
      </c>
      <c r="G29" s="3" t="s">
        <v>1542</v>
      </c>
      <c r="H29" s="3" t="s">
        <v>1543</v>
      </c>
      <c r="I29" s="3" t="s">
        <v>1544</v>
      </c>
    </row>
    <row r="30" s="1" customFormat="1" spans="2:9">
      <c r="B30" s="6">
        <v>1705201</v>
      </c>
      <c r="C30" s="7" t="s">
        <v>282</v>
      </c>
      <c r="D30" s="3" t="s">
        <v>1539</v>
      </c>
      <c r="E30" s="3" t="s">
        <v>1540</v>
      </c>
      <c r="F30" s="3" t="s">
        <v>1558</v>
      </c>
      <c r="G30" s="3" t="s">
        <v>1542</v>
      </c>
      <c r="H30" s="3" t="s">
        <v>1543</v>
      </c>
      <c r="I30" s="3" t="s">
        <v>1544</v>
      </c>
    </row>
    <row r="31" s="1" customFormat="1" spans="4:9">
      <c r="D31" s="3" t="s">
        <v>12</v>
      </c>
      <c r="E31" s="3" t="s">
        <v>1540</v>
      </c>
      <c r="F31" s="3" t="s">
        <v>1558</v>
      </c>
      <c r="G31" s="3" t="s">
        <v>1542</v>
      </c>
      <c r="H31" s="3" t="s">
        <v>1545</v>
      </c>
      <c r="I31" s="3" t="s">
        <v>1544</v>
      </c>
    </row>
    <row r="32" s="1" customFormat="1" spans="4:9">
      <c r="D32" s="3" t="s">
        <v>1546</v>
      </c>
      <c r="E32" s="3" t="s">
        <v>1540</v>
      </c>
      <c r="F32" s="3" t="s">
        <v>1558</v>
      </c>
      <c r="G32" s="3" t="s">
        <v>1542</v>
      </c>
      <c r="H32" s="3" t="s">
        <v>1547</v>
      </c>
      <c r="I32" s="3" t="s">
        <v>1544</v>
      </c>
    </row>
    <row r="33" s="1" customFormat="1" spans="4:9">
      <c r="D33" s="3" t="s">
        <v>1548</v>
      </c>
      <c r="E33" s="3" t="s">
        <v>1540</v>
      </c>
      <c r="F33" s="3" t="s">
        <v>1558</v>
      </c>
      <c r="G33" s="3" t="s">
        <v>1549</v>
      </c>
      <c r="H33" s="3" t="s">
        <v>1550</v>
      </c>
      <c r="I33" s="3" t="s">
        <v>1551</v>
      </c>
    </row>
    <row r="34" s="1" customFormat="1" spans="2:9">
      <c r="B34" s="2"/>
      <c r="C34" s="2"/>
      <c r="D34" s="3" t="s">
        <v>10</v>
      </c>
      <c r="E34" s="3" t="s">
        <v>1540</v>
      </c>
      <c r="F34" s="3" t="s">
        <v>1558</v>
      </c>
      <c r="G34" s="3" t="s">
        <v>1549</v>
      </c>
      <c r="H34" s="3" t="s">
        <v>1552</v>
      </c>
      <c r="I34" s="3" t="s">
        <v>1551</v>
      </c>
    </row>
    <row r="35" s="1" customFormat="1" spans="2:9">
      <c r="B35" s="8"/>
      <c r="C35" s="8"/>
      <c r="D35" s="3" t="s">
        <v>9</v>
      </c>
      <c r="E35" s="3" t="s">
        <v>1540</v>
      </c>
      <c r="F35" s="3" t="s">
        <v>1558</v>
      </c>
      <c r="G35" s="3" t="s">
        <v>1549</v>
      </c>
      <c r="H35" s="3" t="s">
        <v>1553</v>
      </c>
      <c r="I35" s="3" t="s">
        <v>1551</v>
      </c>
    </row>
    <row r="36" s="1" customFormat="1" spans="2:9">
      <c r="B36" s="3"/>
      <c r="C36" s="3"/>
      <c r="D36" s="3" t="s">
        <v>1554</v>
      </c>
      <c r="E36" s="3" t="s">
        <v>1540</v>
      </c>
      <c r="F36" s="3" t="s">
        <v>1559</v>
      </c>
      <c r="G36" s="3" t="s">
        <v>1542</v>
      </c>
      <c r="H36" s="3" t="s">
        <v>1543</v>
      </c>
      <c r="I36" s="3" t="s">
        <v>1544</v>
      </c>
    </row>
    <row r="37" s="1" customFormat="1" spans="2:9">
      <c r="B37" s="9">
        <v>1705202</v>
      </c>
      <c r="C37" s="7" t="s">
        <v>361</v>
      </c>
      <c r="D37" s="3" t="s">
        <v>1539</v>
      </c>
      <c r="E37" s="3" t="s">
        <v>1540</v>
      </c>
      <c r="F37" s="3" t="s">
        <v>1558</v>
      </c>
      <c r="G37" s="3" t="s">
        <v>1542</v>
      </c>
      <c r="H37" s="3" t="s">
        <v>1543</v>
      </c>
      <c r="I37" s="3" t="s">
        <v>1544</v>
      </c>
    </row>
    <row r="38" s="1" customFormat="1" spans="4:9">
      <c r="D38" s="3" t="s">
        <v>12</v>
      </c>
      <c r="E38" s="3" t="s">
        <v>1540</v>
      </c>
      <c r="F38" s="3" t="s">
        <v>1558</v>
      </c>
      <c r="G38" s="3" t="s">
        <v>1542</v>
      </c>
      <c r="H38" s="3" t="s">
        <v>1545</v>
      </c>
      <c r="I38" s="3" t="s">
        <v>1544</v>
      </c>
    </row>
    <row r="39" s="1" customFormat="1" spans="4:9">
      <c r="D39" s="3" t="s">
        <v>1546</v>
      </c>
      <c r="E39" s="3" t="s">
        <v>1540</v>
      </c>
      <c r="F39" s="3" t="s">
        <v>1558</v>
      </c>
      <c r="G39" s="3" t="s">
        <v>1542</v>
      </c>
      <c r="H39" s="3" t="s">
        <v>1547</v>
      </c>
      <c r="I39" s="3" t="s">
        <v>1544</v>
      </c>
    </row>
    <row r="40" s="1" customFormat="1" spans="2:9">
      <c r="B40" s="2"/>
      <c r="C40" s="2"/>
      <c r="D40" s="3" t="s">
        <v>1548</v>
      </c>
      <c r="E40" s="3" t="s">
        <v>1540</v>
      </c>
      <c r="F40" s="3" t="s">
        <v>1558</v>
      </c>
      <c r="G40" s="3" t="s">
        <v>1549</v>
      </c>
      <c r="H40" s="3" t="s">
        <v>1550</v>
      </c>
      <c r="I40" s="3" t="s">
        <v>1551</v>
      </c>
    </row>
    <row r="41" s="1" customFormat="1" spans="2:9">
      <c r="B41" s="2"/>
      <c r="C41" s="2"/>
      <c r="D41" s="3" t="s">
        <v>10</v>
      </c>
      <c r="E41" s="3" t="s">
        <v>1540</v>
      </c>
      <c r="F41" s="3" t="s">
        <v>1558</v>
      </c>
      <c r="G41" s="3" t="s">
        <v>1549</v>
      </c>
      <c r="H41" s="3" t="s">
        <v>1552</v>
      </c>
      <c r="I41" s="3" t="s">
        <v>1551</v>
      </c>
    </row>
    <row r="42" s="1" customFormat="1" spans="2:9">
      <c r="B42" s="2"/>
      <c r="C42" s="2"/>
      <c r="D42" s="3" t="s">
        <v>9</v>
      </c>
      <c r="E42" s="3" t="s">
        <v>1540</v>
      </c>
      <c r="F42" s="3" t="s">
        <v>1558</v>
      </c>
      <c r="G42" s="3" t="s">
        <v>1549</v>
      </c>
      <c r="H42" s="3" t="s">
        <v>1553</v>
      </c>
      <c r="I42" s="3" t="s">
        <v>1551</v>
      </c>
    </row>
    <row r="43" s="1" customFormat="1" spans="2:9">
      <c r="B43" s="2"/>
      <c r="C43" s="2"/>
      <c r="D43" s="3" t="s">
        <v>1554</v>
      </c>
      <c r="E43" s="3" t="s">
        <v>1540</v>
      </c>
      <c r="F43" s="3" t="s">
        <v>1559</v>
      </c>
      <c r="G43" s="3" t="s">
        <v>1542</v>
      </c>
      <c r="H43" s="3" t="s">
        <v>1543</v>
      </c>
      <c r="I43" s="3" t="s">
        <v>1544</v>
      </c>
    </row>
    <row r="44" s="1" customFormat="1" spans="2:9">
      <c r="B44" s="9">
        <v>1702101</v>
      </c>
      <c r="C44" s="4" t="s">
        <v>428</v>
      </c>
      <c r="D44" s="3" t="s">
        <v>1539</v>
      </c>
      <c r="E44" s="3" t="s">
        <v>1540</v>
      </c>
      <c r="F44" s="3" t="s">
        <v>1560</v>
      </c>
      <c r="G44" s="3" t="s">
        <v>1542</v>
      </c>
      <c r="H44" s="3" t="s">
        <v>1543</v>
      </c>
      <c r="I44" s="3" t="s">
        <v>1544</v>
      </c>
    </row>
    <row r="45" s="1" customFormat="1" spans="4:9">
      <c r="D45" s="3" t="s">
        <v>12</v>
      </c>
      <c r="E45" s="3" t="s">
        <v>1540</v>
      </c>
      <c r="F45" s="3" t="s">
        <v>1560</v>
      </c>
      <c r="G45" s="3" t="s">
        <v>1542</v>
      </c>
      <c r="H45" s="3" t="s">
        <v>1545</v>
      </c>
      <c r="I45" s="3" t="s">
        <v>1544</v>
      </c>
    </row>
    <row r="46" s="1" customFormat="1" spans="2:9">
      <c r="B46" s="2"/>
      <c r="C46" s="2"/>
      <c r="D46" s="3" t="s">
        <v>1546</v>
      </c>
      <c r="E46" s="3" t="s">
        <v>1540</v>
      </c>
      <c r="F46" s="3" t="s">
        <v>1560</v>
      </c>
      <c r="G46" s="3" t="s">
        <v>1542</v>
      </c>
      <c r="H46" s="3" t="s">
        <v>1547</v>
      </c>
      <c r="I46" s="3" t="s">
        <v>1544</v>
      </c>
    </row>
    <row r="47" s="1" customFormat="1" spans="2:9">
      <c r="B47" s="2"/>
      <c r="C47" s="2"/>
      <c r="D47" s="3" t="s">
        <v>1548</v>
      </c>
      <c r="E47" s="3" t="s">
        <v>1540</v>
      </c>
      <c r="F47" s="3" t="s">
        <v>1560</v>
      </c>
      <c r="G47" s="3" t="s">
        <v>1549</v>
      </c>
      <c r="H47" s="3" t="s">
        <v>1550</v>
      </c>
      <c r="I47" s="3" t="s">
        <v>1551</v>
      </c>
    </row>
    <row r="48" s="1" customFormat="1" spans="2:9">
      <c r="B48" s="2"/>
      <c r="C48" s="2"/>
      <c r="D48" s="3" t="s">
        <v>10</v>
      </c>
      <c r="E48" s="3" t="s">
        <v>1540</v>
      </c>
      <c r="F48" s="3" t="s">
        <v>1560</v>
      </c>
      <c r="G48" s="3" t="s">
        <v>1549</v>
      </c>
      <c r="H48" s="3" t="s">
        <v>1552</v>
      </c>
      <c r="I48" s="3" t="s">
        <v>1551</v>
      </c>
    </row>
    <row r="49" s="1" customFormat="1" spans="2:9">
      <c r="B49" s="2"/>
      <c r="C49" s="2"/>
      <c r="D49" s="3" t="s">
        <v>9</v>
      </c>
      <c r="E49" s="3" t="s">
        <v>1540</v>
      </c>
      <c r="F49" s="3" t="s">
        <v>1560</v>
      </c>
      <c r="G49" s="3" t="s">
        <v>1549</v>
      </c>
      <c r="H49" s="3" t="s">
        <v>1553</v>
      </c>
      <c r="I49" s="3" t="s">
        <v>1551</v>
      </c>
    </row>
    <row r="50" s="1" customFormat="1" spans="2:9">
      <c r="B50" s="2"/>
      <c r="C50" s="2"/>
      <c r="D50" s="3" t="s">
        <v>1554</v>
      </c>
      <c r="E50" s="3" t="s">
        <v>1540</v>
      </c>
      <c r="F50" s="3" t="s">
        <v>1559</v>
      </c>
      <c r="G50" s="3" t="s">
        <v>1542</v>
      </c>
      <c r="H50" s="3" t="s">
        <v>1543</v>
      </c>
      <c r="I50" s="3" t="s">
        <v>1544</v>
      </c>
    </row>
    <row r="51" s="1" customFormat="1" spans="2:9">
      <c r="B51" s="4">
        <v>1702104</v>
      </c>
      <c r="C51" s="4" t="s">
        <v>485</v>
      </c>
      <c r="D51" s="3" t="s">
        <v>1539</v>
      </c>
      <c r="E51" s="3" t="s">
        <v>1540</v>
      </c>
      <c r="F51" s="3" t="s">
        <v>1560</v>
      </c>
      <c r="G51" s="3" t="s">
        <v>1542</v>
      </c>
      <c r="H51" s="3" t="s">
        <v>1543</v>
      </c>
      <c r="I51" s="3" t="s">
        <v>1544</v>
      </c>
    </row>
    <row r="52" s="1" customFormat="1" spans="2:9">
      <c r="B52" s="2"/>
      <c r="C52" s="2"/>
      <c r="D52" s="3" t="s">
        <v>12</v>
      </c>
      <c r="E52" s="3" t="s">
        <v>1540</v>
      </c>
      <c r="F52" s="3" t="s">
        <v>1560</v>
      </c>
      <c r="G52" s="3" t="s">
        <v>1542</v>
      </c>
      <c r="H52" s="3" t="s">
        <v>1545</v>
      </c>
      <c r="I52" s="3" t="s">
        <v>1544</v>
      </c>
    </row>
    <row r="53" s="1" customFormat="1" spans="2:9">
      <c r="B53" s="2"/>
      <c r="C53" s="2"/>
      <c r="D53" s="3" t="s">
        <v>1546</v>
      </c>
      <c r="E53" s="3" t="s">
        <v>1540</v>
      </c>
      <c r="F53" s="3" t="s">
        <v>1560</v>
      </c>
      <c r="G53" s="3" t="s">
        <v>1542</v>
      </c>
      <c r="H53" s="3" t="s">
        <v>1547</v>
      </c>
      <c r="I53" s="3" t="s">
        <v>1544</v>
      </c>
    </row>
    <row r="54" s="1" customFormat="1" spans="2:9">
      <c r="B54" s="2"/>
      <c r="C54" s="2"/>
      <c r="D54" s="3" t="s">
        <v>1548</v>
      </c>
      <c r="E54" s="3" t="s">
        <v>1540</v>
      </c>
      <c r="F54" s="3" t="s">
        <v>1560</v>
      </c>
      <c r="G54" s="3" t="s">
        <v>1549</v>
      </c>
      <c r="H54" s="3" t="s">
        <v>1550</v>
      </c>
      <c r="I54" s="3" t="s">
        <v>1551</v>
      </c>
    </row>
    <row r="55" s="1" customFormat="1" spans="2:9">
      <c r="B55" s="2"/>
      <c r="C55" s="2"/>
      <c r="D55" s="3" t="s">
        <v>10</v>
      </c>
      <c r="E55" s="3" t="s">
        <v>1540</v>
      </c>
      <c r="F55" s="3" t="s">
        <v>1560</v>
      </c>
      <c r="G55" s="3" t="s">
        <v>1549</v>
      </c>
      <c r="H55" s="3" t="s">
        <v>1552</v>
      </c>
      <c r="I55" s="3" t="s">
        <v>1551</v>
      </c>
    </row>
    <row r="56" s="1" customFormat="1" spans="2:9">
      <c r="B56" s="2"/>
      <c r="C56" s="2"/>
      <c r="D56" s="3" t="s">
        <v>9</v>
      </c>
      <c r="E56" s="3" t="s">
        <v>1540</v>
      </c>
      <c r="F56" s="3" t="s">
        <v>1560</v>
      </c>
      <c r="G56" s="3" t="s">
        <v>1549</v>
      </c>
      <c r="H56" s="3" t="s">
        <v>1553</v>
      </c>
      <c r="I56" s="3" t="s">
        <v>1551</v>
      </c>
    </row>
    <row r="57" s="1" customFormat="1" spans="2:9">
      <c r="B57" s="2"/>
      <c r="C57" s="2"/>
      <c r="D57" s="3" t="s">
        <v>1554</v>
      </c>
      <c r="E57" s="3" t="s">
        <v>1540</v>
      </c>
      <c r="F57" s="3" t="s">
        <v>1559</v>
      </c>
      <c r="G57" s="3" t="s">
        <v>1542</v>
      </c>
      <c r="H57" s="3" t="s">
        <v>1543</v>
      </c>
      <c r="I57" s="3" t="s">
        <v>1544</v>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成绩表</vt:lpstr>
      <vt:lpstr>信息表</vt:lpstr>
      <vt:lpstr>免测表</vt:lpstr>
      <vt:lpstr>测试时间表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Administrator</cp:lastModifiedBy>
  <dcterms:created xsi:type="dcterms:W3CDTF">2018-10-25T05:56:00Z</dcterms:created>
  <dcterms:modified xsi:type="dcterms:W3CDTF">2018-12-20T14:12:01Z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2052-10.1.0.7697</vt:lpwstr>
  </property>
</Properties>
</file>